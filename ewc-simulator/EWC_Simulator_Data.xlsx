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9.xml" ContentType="application/vnd.openxmlformats-officedocument.spreadsheetml.worksheet+xml"/>
  <Override PartName="/xl/worksheets/sheet17.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ed Methodology" sheetId="1" state="visible" r:id="rId3"/>
    <sheet name="Clubs" sheetId="2" state="visible" r:id="rId4"/>
    <sheet name="CS2" sheetId="3" state="visible" r:id="rId5"/>
    <sheet name="Chess" sheetId="4" state="visible" r:id="rId6"/>
    <sheet name="LoL" sheetId="5" state="visible" r:id="rId7"/>
    <sheet name="PUBG Mobile" sheetId="6" state="visible" r:id="rId8"/>
    <sheet name="Fortnite Reload" sheetId="7" state="visible" r:id="rId9"/>
    <sheet name="Trackmania" sheetId="8" state="visible" r:id="rId10"/>
    <sheet name="Dota 2" sheetId="9" state="visible" r:id="rId11"/>
    <sheet name="Tekken 8" sheetId="10" state="visible" r:id="rId12"/>
    <sheet name="Street Fighter 6" sheetId="11" state="visible" r:id="rId13"/>
    <sheet name="Fatal Fury CotW" sheetId="12" state="visible" r:id="rId14"/>
    <sheet name="TFT" sheetId="13" state="visible" r:id="rId15"/>
    <sheet name="Rainbow Six" sheetId="14" state="visible" r:id="rId16"/>
    <sheet name="Warzone" sheetId="15" state="visible" r:id="rId17"/>
    <sheet name="Valorant" sheetId="16" state="visible" r:id="rId18"/>
    <sheet name="MLBB (MSC)" sheetId="17" state="visible" r:id="rId19"/>
    <sheet name="Apex Legends" sheetId="18" state="visible" r:id="rId20"/>
    <sheet name="Honor of Kings" sheetId="19" state="visible" r:id="rId21"/>
    <sheet name="CrossFire" sheetId="20" state="visible" r:id="rId22"/>
    <sheet name="Free Fire" sheetId="21" state="visible" r:id="rId23"/>
    <sheet name="EA FC 26" sheetId="22" state="visible" r:id="rId24"/>
    <sheet name="Black Ops 7" sheetId="23" state="visible" r:id="rId25"/>
    <sheet name="Rocket League" sheetId="24" state="visible" r:id="rId26"/>
    <sheet name="CC Simulation" sheetId="25" state="visible" r:id="rId27"/>
    <sheet name="CC Reconciliation" sheetId="26" state="visible" r:id="rId28"/>
    <sheet name="Overwatch 2" sheetId="27" state="visible" r:id="rId29"/>
    <sheet name="PUBG" sheetId="28" state="visible" r:id="rId30"/>
    <sheet name="MLBB Women" sheetId="29" state="visible" r:id="rId3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<sst xmlns="http://schemas.openxmlformats.org/spreadsheetml/2006/main" count="6135" uniqueCount="1788">
  <si>
    <t xml:space="preserve">Seed methodology — how a pre-event strength value is derived</t>
  </si>
  <si>
    <t xml:space="preserve">Every method resolves to the same two fields the simulator consumes: a STRENGTH RANK within the field, and a CONFIDENCE grade. Confidence is separate from title volatility and does a different job — volatility says how much the title scrambles outcomes, confidence says how much we trust the seed. A weak seed widens the simulated spread even in a low-volatility title. Record also the snapshot date and whether the roster changed after it: a rating attaches to five players, not a logo.</t>
  </si>
  <si>
    <t xml:space="preserve">Method</t>
  </si>
  <si>
    <t xml:space="preserve">Conf.</t>
  </si>
  <si>
    <t xml:space="preserve">What it is</t>
  </si>
  <si>
    <t xml:space="preserve">When to use it</t>
  </si>
  <si>
    <t xml:space="preserve">Worked example</t>
  </si>
  <si>
    <t xml:space="preserve">Watch out for</t>
  </si>
  <si>
    <t xml:space="preserve">A · Actual seed / world rank</t>
  </si>
  <si>
    <t xml:space="preserve">A</t>
  </si>
  <si>
    <t xml:space="preserve">Published numeric ranking the ecosystem itself uses to invite or seed.</t>
  </si>
  <si>
    <t xml:space="preserve">First choice wherever it exists — gives ratings as well as ranks, so gaps are measurable.</t>
  </si>
  <si>
    <t xml:space="preserve">CS2 — Valve Regional Standings. Chess — FIDE / Chess.com rapid.</t>
  </si>
  <si>
    <t xml:space="preserve">Snapshot must predate the event; ratings attach to a roster.</t>
  </si>
  <si>
    <t xml:space="preserve">B · Most recent event / league form</t>
  </si>
  <si>
    <t xml:space="preserve">B</t>
  </si>
  <si>
    <t xml:space="preserve">Finishing order from a recent competition the same teams contested.</t>
  </si>
  <si>
    <t xml:space="preserve">Franchised or closed circuits where the field has just played each other.</t>
  </si>
  <si>
    <t xml:space="preserve">Black Ops 7 — CDL season standings.</t>
  </si>
  <si>
    <t xml:space="preserve">One event is a small sample; prefer a season table.</t>
  </si>
  <si>
    <t xml:space="preserve">C · Power ranking</t>
  </si>
  <si>
    <t xml:space="preserve">C</t>
  </si>
  <si>
    <t xml:space="preserve">Community or media composite ranking.</t>
  </si>
  <si>
    <t xml:space="preserve">Cross-region titles with no official ladder.</t>
  </si>
  <si>
    <t xml:space="preserve">PUBG, Dota 2 analyst tiering.</t>
  </si>
  <si>
    <t xml:space="preserve">Poor update cadence, opaque method. Record source and date.</t>
  </si>
  <si>
    <t xml:space="preserve">D · Cohort seeding (High/Med/Low)</t>
  </si>
  <si>
    <t xml:space="preserve">Banded strength by region and international pedigree.</t>
  </si>
  <si>
    <t xml:space="preserve">Titles where regions rarely meet and ordinals would be false precision.</t>
  </si>
  <si>
    <t xml:space="preserve">LoL — LCK/LPL High; top LEC/AMER/PAC Med; rest Low.</t>
  </si>
  <si>
    <t xml:space="preserve">Sample WITHIN the band each run — never collapse a band to one rank.</t>
  </si>
  <si>
    <t xml:space="preserve">E · No credible seed</t>
  </si>
  <si>
    <t xml:space="preserve">D</t>
  </si>
  <si>
    <t xml:space="preserve">No usable pre-event signal exists.</t>
  </si>
  <si>
    <t xml:space="preserve">Declare it rather than forcing a proxy; simulator treats the field as flat.</t>
  </si>
  <si>
    <t xml:space="preserve">Warzone, Free Fire, Fortnite.</t>
  </si>
  <si>
    <t xml:space="preserve">Being explicit beats a fabricated seed that looks authoritative.</t>
  </si>
  <si>
    <t xml:space="preserve">PROPOSED METHOD PER TITLE — editable, for your approval</t>
  </si>
  <si>
    <t xml:space="preserve">Title</t>
  </si>
  <si>
    <t xml:space="preserve">TVI</t>
  </si>
  <si>
    <t xml:space="preserve">Proposed source</t>
  </si>
  <si>
    <t xml:space="preserve">Notes</t>
  </si>
  <si>
    <t xml:space="preserve">Counter-Strike 2</t>
  </si>
  <si>
    <t xml:space="preserve">Valve Regional Standings (global snapshot)</t>
  </si>
  <si>
    <t xml:space="preserve">Ratings available — best-in-class source</t>
  </si>
  <si>
    <t xml:space="preserve">Chess</t>
  </si>
  <si>
    <t xml:space="preserve">FIDE / Chess.com rapid rating</t>
  </si>
  <si>
    <t xml:space="preserve">Elo is ideal simulator input</t>
  </si>
  <si>
    <t xml:space="preserve">Trackmania</t>
  </si>
  <si>
    <t xml:space="preserve">Elite Cup standings / TM world ranking</t>
  </si>
  <si>
    <t xml:space="preserve">Rocket League</t>
  </si>
  <si>
    <t xml:space="preserve">RLCS season standings</t>
  </si>
  <si>
    <t xml:space="preserve">Black Ops 7</t>
  </si>
  <si>
    <t xml:space="preserve">CDL season standings</t>
  </si>
  <si>
    <t xml:space="preserve">Franchised — field has just played</t>
  </si>
  <si>
    <t xml:space="preserve">Rainbow Six Siege</t>
  </si>
  <si>
    <t xml:space="preserve">SI points / season standings</t>
  </si>
  <si>
    <t xml:space="preserve">Honor of Kings</t>
  </si>
  <si>
    <t xml:space="preserve">KPL season standings</t>
  </si>
  <si>
    <t xml:space="preserve">MLBB Women's</t>
  </si>
  <si>
    <t xml:space="preserve">Cohort: prior MWI final / ID-PH circuit High, knockout-pedigree regions Medium, expansion Low</t>
  </si>
  <si>
    <t xml:space="preserve">Proposed, needs approval — no cross-regional ranking exists</t>
  </si>
  <si>
    <t xml:space="preserve">Tekken 8</t>
  </si>
  <si>
    <t xml:space="preserve">FGC / EWC ranking points</t>
  </si>
  <si>
    <t xml:space="preserve">CrossFire</t>
  </si>
  <si>
    <t xml:space="preserve">CFPL season standings</t>
  </si>
  <si>
    <t xml:space="preserve">League of Legends</t>
  </si>
  <si>
    <t xml:space="preserve">Cohort: LCK+LPL High / top LEC+AMER+PAC Med / rest Low</t>
  </si>
  <si>
    <t xml:space="preserve">Regions rarely meet</t>
  </si>
  <si>
    <t xml:space="preserve">Overwatch 2</t>
  </si>
  <si>
    <t xml:space="preserve">Cohort: Korea S2 top 2 + NA/EMEA/China S2 winners High, Pacific + FACEIT Low, rest Medium</t>
  </si>
  <si>
    <t xml:space="preserve">Agreed rule</t>
  </si>
  <si>
    <t xml:space="preserve">Fatal Fury: CotW</t>
  </si>
  <si>
    <t xml:space="preserve">FGC circuit points</t>
  </si>
  <si>
    <t xml:space="preserve">Young title</t>
  </si>
  <si>
    <t xml:space="preserve">Valorant</t>
  </si>
  <si>
    <t xml:space="preserve">Cohort by region + VCT placement</t>
  </si>
  <si>
    <t xml:space="preserve">Dota 2</t>
  </si>
  <si>
    <t xml:space="preserve">EPT standings</t>
  </si>
  <si>
    <t xml:space="preserve">Street Fighter 6</t>
  </si>
  <si>
    <t xml:space="preserve">Capcom Pro Tour points</t>
  </si>
  <si>
    <t xml:space="preserve">MLBB (MSC)</t>
  </si>
  <si>
    <t xml:space="preserve">MPL regional standings</t>
  </si>
  <si>
    <t xml:space="preserve">PUBG</t>
  </si>
  <si>
    <t xml:space="preserve">Cohort: PGS Points seeds + title defender High, regional series seeds Medium</t>
  </si>
  <si>
    <t xml:space="preserve">PGS Points are global and comparable; regional PGC Points are not</t>
  </si>
  <si>
    <t xml:space="preserve">EA Sports FC 26</t>
  </si>
  <si>
    <t xml:space="preserve">FC Pro rankings</t>
  </si>
  <si>
    <t xml:space="preserve">Weak predictor historically</t>
  </si>
  <si>
    <t xml:space="preserve">Teamfight Tactics</t>
  </si>
  <si>
    <t xml:space="preserve">TFT circuit points</t>
  </si>
  <si>
    <t xml:space="preserve">Free Fire</t>
  </si>
  <si>
    <t xml:space="preserve">E</t>
  </si>
  <si>
    <t xml:space="preserve">—</t>
  </si>
  <si>
    <t xml:space="preserve">Regional fragmentation</t>
  </si>
  <si>
    <t xml:space="preserve">Warzone</t>
  </si>
  <si>
    <t xml:space="preserve">Open qualification</t>
  </si>
  <si>
    <t xml:space="preserve">PUBG Mobile</t>
  </si>
  <si>
    <t xml:space="preserve">PMGC points</t>
  </si>
  <si>
    <t xml:space="preserve">Fortnite</t>
  </si>
  <si>
    <t xml:space="preserve">Format changes yearly</t>
  </si>
  <si>
    <t xml:space="preserve">Apex Legends</t>
  </si>
  <si>
    <t xml:space="preserve">ALGS championship points</t>
  </si>
  <si>
    <t xml:space="preserve">Circuit points exist but weak predictor</t>
  </si>
  <si>
    <t xml:space="preserve">Club registry — all Club Championship participants</t>
  </si>
  <si>
    <t xml:space="preserve">All 133 Club Championship-eligible clubs — i.e. every club that fielded more than one title at EWC26. Single-title clubs are excluded because they cannot score CC points. Every title tab joins on club_id.</t>
  </si>
  <si>
    <t xml:space="preserve">club_id</t>
  </si>
  <si>
    <t xml:space="preserve">Display name</t>
  </si>
  <si>
    <t xml:space="preserve">Aliases (semicolon separated)</t>
  </si>
  <si>
    <t xml:space="preserve">Titles fielded</t>
  </si>
  <si>
    <t xml:space="preserve">Qualified</t>
  </si>
  <si>
    <t xml:space="preserve">EWC26 CC points</t>
  </si>
  <si>
    <t xml:space="preserve">CC top 24</t>
  </si>
  <si>
    <t xml:space="preserve">team_falcons</t>
  </si>
  <si>
    <t xml:space="preserve">Team Falcons</t>
  </si>
  <si>
    <t xml:space="preserve">Riyadh Falcons; Falcons Vega; Falcons Vega MENA; Falcons Vega PH; Team Falcons PH</t>
  </si>
  <si>
    <t xml:space="preserve">22/25</t>
  </si>
  <si>
    <t xml:space="preserve">Yes</t>
  </si>
  <si>
    <t xml:space="preserve">team_vitality</t>
  </si>
  <si>
    <t xml:space="preserve">Team Vitality</t>
  </si>
  <si>
    <t xml:space="preserve">Bigetron by Vitality; HavoK by Vitality; Bigetron MY by VIT</t>
  </si>
  <si>
    <t xml:space="preserve">17/25</t>
  </si>
  <si>
    <t xml:space="preserve">virtuspro</t>
  </si>
  <si>
    <t xml:space="preserve">Virtus.pro</t>
  </si>
  <si>
    <t xml:space="preserve">Virtus.pro Fe; Virtus.pro MENA</t>
  </si>
  <si>
    <t xml:space="preserve">13/25</t>
  </si>
  <si>
    <t xml:space="preserve">agal_international</t>
  </si>
  <si>
    <t xml:space="preserve">AG.AL International</t>
  </si>
  <si>
    <t xml:space="preserve">All Gamers; Anyone's Legend; AG Super Play; All Gamers Global</t>
  </si>
  <si>
    <t xml:space="preserve">18/25</t>
  </si>
  <si>
    <t xml:space="preserve">s8ul_esports</t>
  </si>
  <si>
    <t xml:space="preserve">S8UL Esports</t>
  </si>
  <si>
    <t xml:space="preserve">6/25</t>
  </si>
  <si>
    <t xml:space="preserve">twisted_minds</t>
  </si>
  <si>
    <t xml:space="preserve">Twisted Minds</t>
  </si>
  <si>
    <t xml:space="preserve">Twisted Minds ID; Twisted Minds VN; Twisted Minds PH; Twisted Minds Orchid</t>
  </si>
  <si>
    <t xml:space="preserve">9/25</t>
  </si>
  <si>
    <t xml:space="preserve">godlike</t>
  </si>
  <si>
    <t xml:space="preserve">GodLike</t>
  </si>
  <si>
    <t xml:space="preserve">8/25</t>
  </si>
  <si>
    <t xml:space="preserve">team_liquid</t>
  </si>
  <si>
    <t xml:space="preserve">Team Liquid</t>
  </si>
  <si>
    <t xml:space="preserve">Team Liquid ID; Team Liquid PH; Team Liquid Aqua</t>
  </si>
  <si>
    <t xml:space="preserve">10/25</t>
  </si>
  <si>
    <t xml:space="preserve">team_nemesis</t>
  </si>
  <si>
    <t xml:space="preserve">Team Nemesis</t>
  </si>
  <si>
    <t xml:space="preserve">titan_esports_club</t>
  </si>
  <si>
    <t xml:space="preserve">Titan Esports Club</t>
  </si>
  <si>
    <t xml:space="preserve">4/25</t>
  </si>
  <si>
    <t xml:space="preserve">weibo_gaming</t>
  </si>
  <si>
    <t xml:space="preserve">Weibo Gaming</t>
  </si>
  <si>
    <t xml:space="preserve">ninjas_in_pyjamas</t>
  </si>
  <si>
    <t xml:space="preserve">Ninjas in Pyjamas</t>
  </si>
  <si>
    <t xml:space="preserve">9z_team</t>
  </si>
  <si>
    <t xml:space="preserve">9z Team</t>
  </si>
  <si>
    <t xml:space="preserve">2/25</t>
  </si>
  <si>
    <t xml:space="preserve">aurora_gaming</t>
  </si>
  <si>
    <t xml:space="preserve">Aurora Gaming</t>
  </si>
  <si>
    <t xml:space="preserve">Aurora Avalanche; Aurora Storm; Aurora Gaming PH; Aurora Gaming (Serbia)</t>
  </si>
  <si>
    <t xml:space="preserve">11/25</t>
  </si>
  <si>
    <t xml:space="preserve">geng_esports</t>
  </si>
  <si>
    <t xml:space="preserve">Gen.G Esports</t>
  </si>
  <si>
    <t xml:space="preserve">geekay_esports</t>
  </si>
  <si>
    <t xml:space="preserve">Geekay Esports</t>
  </si>
  <si>
    <t xml:space="preserve">natus_vincere</t>
  </si>
  <si>
    <t xml:space="preserve">Natus Vincere</t>
  </si>
  <si>
    <t xml:space="preserve">Natus Vincere PH; Natus Vincere MY</t>
  </si>
  <si>
    <t xml:space="preserve">7/25</t>
  </si>
  <si>
    <t xml:space="preserve">the_vicious</t>
  </si>
  <si>
    <t xml:space="preserve">The Vicious</t>
  </si>
  <si>
    <t xml:space="preserve">fnatic</t>
  </si>
  <si>
    <t xml:space="preserve">Fnatic</t>
  </si>
  <si>
    <t xml:space="preserve">t1</t>
  </si>
  <si>
    <t xml:space="preserve">T1</t>
  </si>
  <si>
    <t xml:space="preserve">team_spirit</t>
  </si>
  <si>
    <t xml:space="preserve">Team Spirit</t>
  </si>
  <si>
    <t xml:space="preserve">3/25</t>
  </si>
  <si>
    <t xml:space="preserve">team_vision</t>
  </si>
  <si>
    <t xml:space="preserve">Team Vision</t>
  </si>
  <si>
    <t xml:space="preserve">Vision Esports</t>
  </si>
  <si>
    <t xml:space="preserve">furia</t>
  </si>
  <si>
    <t xml:space="preserve">FURIA</t>
  </si>
  <si>
    <t xml:space="preserve">FURIA Esports</t>
  </si>
  <si>
    <t xml:space="preserve">fut_esports</t>
  </si>
  <si>
    <t xml:space="preserve">FUT Esports</t>
  </si>
  <si>
    <t xml:space="preserve">5/25</t>
  </si>
  <si>
    <t xml:space="preserve">rex_regum_qeon</t>
  </si>
  <si>
    <t xml:space="preserve">Rex Regum Qeon</t>
  </si>
  <si>
    <t xml:space="preserve">jd_gaming</t>
  </si>
  <si>
    <t xml:space="preserve">JD Gaming</t>
  </si>
  <si>
    <t xml:space="preserve">leviatán</t>
  </si>
  <si>
    <t xml:space="preserve">Leviatán</t>
  </si>
  <si>
    <t xml:space="preserve">onic</t>
  </si>
  <si>
    <t xml:space="preserve">ONIC</t>
  </si>
  <si>
    <t xml:space="preserve">reject</t>
  </si>
  <si>
    <t xml:space="preserve">REJECT</t>
  </si>
  <si>
    <t xml:space="preserve">team_heretics</t>
  </si>
  <si>
    <t xml:space="preserve">Team Heretics</t>
  </si>
  <si>
    <t xml:space="preserve">Miami Heretics</t>
  </si>
  <si>
    <t xml:space="preserve">edward_gaming</t>
  </si>
  <si>
    <t xml:space="preserve">EDward Gaming</t>
  </si>
  <si>
    <t xml:space="preserve">mibrlos</t>
  </si>
  <si>
    <t xml:space="preserve">MIBR.LOS</t>
  </si>
  <si>
    <t xml:space="preserve">roc_esports</t>
  </si>
  <si>
    <t xml:space="preserve">ROC Esports</t>
  </si>
  <si>
    <t xml:space="preserve">wolves_esports</t>
  </si>
  <si>
    <t xml:space="preserve">Wolves Esports</t>
  </si>
  <si>
    <t xml:space="preserve">zeta_division</t>
  </si>
  <si>
    <t xml:space="preserve">ZETA DIVISION</t>
  </si>
  <si>
    <t xml:space="preserve">drx</t>
  </si>
  <si>
    <t xml:space="preserve">DRX</t>
  </si>
  <si>
    <t xml:space="preserve">fluxo_w7m</t>
  </si>
  <si>
    <t xml:space="preserve">Fluxo W7M</t>
  </si>
  <si>
    <t xml:space="preserve">1/25</t>
  </si>
  <si>
    <t xml:space="preserve">g2_esports</t>
  </si>
  <si>
    <t xml:space="preserve">G2 Esports</t>
  </si>
  <si>
    <t xml:space="preserve">G2 Minnesota</t>
  </si>
  <si>
    <t xml:space="preserve">gentle_mates</t>
  </si>
  <si>
    <t xml:space="preserve">Gentle Mates</t>
  </si>
  <si>
    <t xml:space="preserve">full_sense</t>
  </si>
  <si>
    <t xml:space="preserve">FULL SENSE</t>
  </si>
  <si>
    <t xml:space="preserve">lgd_gaming</t>
  </si>
  <si>
    <t xml:space="preserve">LGD Gaming</t>
  </si>
  <si>
    <t xml:space="preserve">mouz</t>
  </si>
  <si>
    <t xml:space="preserve">MOUZ</t>
  </si>
  <si>
    <t xml:space="preserve">r8_esports</t>
  </si>
  <si>
    <t xml:space="preserve">R8 Esports</t>
  </si>
  <si>
    <t xml:space="preserve">shopify_rebellion</t>
  </si>
  <si>
    <t xml:space="preserve">Shopify Rebellion</t>
  </si>
  <si>
    <t xml:space="preserve">100_thieves</t>
  </si>
  <si>
    <t xml:space="preserve">100 Thieves</t>
  </si>
  <si>
    <t xml:space="preserve">Los Angeles Thieves; Crazy Thieves</t>
  </si>
  <si>
    <t xml:space="preserve">al_ula_club</t>
  </si>
  <si>
    <t xml:space="preserve">Al-Ula Club</t>
  </si>
  <si>
    <t xml:space="preserve">alpha7_esports</t>
  </si>
  <si>
    <t xml:space="preserve">Alpha7 Esports</t>
  </si>
  <si>
    <t xml:space="preserve">crazy_raccoon</t>
  </si>
  <si>
    <t xml:space="preserve">Crazy Raccoon</t>
  </si>
  <si>
    <t xml:space="preserve">detonation_focusme</t>
  </si>
  <si>
    <t xml:space="preserve">DetonatioN FocusMe</t>
  </si>
  <si>
    <t xml:space="preserve">dplus</t>
  </si>
  <si>
    <t xml:space="preserve">Dplus</t>
  </si>
  <si>
    <t xml:space="preserve">eko_esports</t>
  </si>
  <si>
    <t xml:space="preserve">EKO Esports</t>
  </si>
  <si>
    <t xml:space="preserve">flyquest</t>
  </si>
  <si>
    <t xml:space="preserve">FlyQuest</t>
  </si>
  <si>
    <t xml:space="preserve">gam_esports</t>
  </si>
  <si>
    <t xml:space="preserve">GAM Esports</t>
  </si>
  <si>
    <t xml:space="preserve">kinotrope_gaming</t>
  </si>
  <si>
    <t xml:space="preserve">KINOTROPE gaming</t>
  </si>
  <si>
    <t xml:space="preserve">loud</t>
  </si>
  <si>
    <t xml:space="preserve">LOUD</t>
  </si>
  <si>
    <t xml:space="preserve">novo_esports</t>
  </si>
  <si>
    <t xml:space="preserve">NOVO Esports</t>
  </si>
  <si>
    <t xml:space="preserve">nongshim_redforce</t>
  </si>
  <si>
    <t xml:space="preserve">Nongshim RedForce</t>
  </si>
  <si>
    <t xml:space="preserve">revenant_xspark</t>
  </si>
  <si>
    <t xml:space="preserve">Revenant XSpark</t>
  </si>
  <si>
    <t xml:space="preserve">s2g_esports</t>
  </si>
  <si>
    <t xml:space="preserve">S2G Esports</t>
  </si>
  <si>
    <t xml:space="preserve">soopers</t>
  </si>
  <si>
    <t xml:space="preserve">SOOPers</t>
  </si>
  <si>
    <t xml:space="preserve">sentinels</t>
  </si>
  <si>
    <t xml:space="preserve">Sentinels</t>
  </si>
  <si>
    <t xml:space="preserve">varrel</t>
  </si>
  <si>
    <t xml:space="preserve">VARREL</t>
  </si>
  <si>
    <t xml:space="preserve">zedi_esports</t>
  </si>
  <si>
    <t xml:space="preserve">ZEDI ESPORTS</t>
  </si>
  <si>
    <t xml:space="preserve">al_ahli_esports</t>
  </si>
  <si>
    <t xml:space="preserve">Al Ahli Esports</t>
  </si>
  <si>
    <t xml:space="preserve">al_qadsiah</t>
  </si>
  <si>
    <t xml:space="preserve">Al Qadsiah</t>
  </si>
  <si>
    <t xml:space="preserve">big</t>
  </si>
  <si>
    <t xml:space="preserve">BIG</t>
  </si>
  <si>
    <t xml:space="preserve">buriram_united_esports</t>
  </si>
  <si>
    <t xml:space="preserve">Buriram United Esports</t>
  </si>
  <si>
    <t xml:space="preserve">cloud9</t>
  </si>
  <si>
    <t xml:space="preserve">Cloud9</t>
  </si>
  <si>
    <t xml:space="preserve">enter_force36</t>
  </si>
  <si>
    <t xml:space="preserve">ENTER FORCE.36</t>
  </si>
  <si>
    <t xml:space="preserve">faze_clan</t>
  </si>
  <si>
    <t xml:space="preserve">FaZe Clan</t>
  </si>
  <si>
    <t xml:space="preserve">FaZe Vegas</t>
  </si>
  <si>
    <t xml:space="preserve">flash_wolves</t>
  </si>
  <si>
    <t xml:space="preserve">Flash Wolves</t>
  </si>
  <si>
    <t xml:space="preserve">four_angry_men</t>
  </si>
  <si>
    <t xml:space="preserve">Four Angry Men</t>
  </si>
  <si>
    <t xml:space="preserve">influence_rage</t>
  </si>
  <si>
    <t xml:space="preserve">INFLUENCE RAGE</t>
  </si>
  <si>
    <t xml:space="preserve">lyon</t>
  </si>
  <si>
    <t xml:space="preserve">LYON</t>
  </si>
  <si>
    <t xml:space="preserve">m80</t>
  </si>
  <si>
    <t xml:space="preserve">M80</t>
  </si>
  <si>
    <t xml:space="preserve">movistar_koi</t>
  </si>
  <si>
    <t xml:space="preserve">Movistar KOI</t>
  </si>
  <si>
    <t xml:space="preserve">nrg</t>
  </si>
  <si>
    <t xml:space="preserve">NRG</t>
  </si>
  <si>
    <t xml:space="preserve">ravens_esports</t>
  </si>
  <si>
    <t xml:space="preserve">Ravens Esports</t>
  </si>
  <si>
    <t xml:space="preserve">tyloo</t>
  </si>
  <si>
    <t xml:space="preserve">TYLOO</t>
  </si>
  <si>
    <t xml:space="preserve">team_orchid</t>
  </si>
  <si>
    <t xml:space="preserve">Team Orchid</t>
  </si>
  <si>
    <t xml:space="preserve">yangon_galacticos</t>
  </si>
  <si>
    <t xml:space="preserve">Yangon Galacticos</t>
  </si>
  <si>
    <t xml:space="preserve">earena</t>
  </si>
  <si>
    <t xml:space="preserve">eArena</t>
  </si>
  <si>
    <t xml:space="preserve">boom_esports</t>
  </si>
  <si>
    <t xml:space="preserve">BOOM Esports</t>
  </si>
  <si>
    <t xml:space="preserve">deep_cross_gaming</t>
  </si>
  <si>
    <t xml:space="preserve">Deep Cross Gaming</t>
  </si>
  <si>
    <t xml:space="preserve">dignitas</t>
  </si>
  <si>
    <t xml:space="preserve">Dignitas</t>
  </si>
  <si>
    <t xml:space="preserve">evos_esports</t>
  </si>
  <si>
    <t xml:space="preserve">EVOS Esports</t>
  </si>
  <si>
    <t xml:space="preserve">elite_esports</t>
  </si>
  <si>
    <t xml:space="preserve">Elite Esports</t>
  </si>
  <si>
    <t xml:space="preserve">for_fun_esports</t>
  </si>
  <si>
    <t xml:space="preserve">For Fun Esports</t>
  </si>
  <si>
    <t xml:space="preserve">gaimin_gladiators</t>
  </si>
  <si>
    <t xml:space="preserve">Gaimin Gladiators</t>
  </si>
  <si>
    <t xml:space="preserve">gamax_esports</t>
  </si>
  <si>
    <t xml:space="preserve">Gamax Esports</t>
  </si>
  <si>
    <t xml:space="preserve">good_8_squad</t>
  </si>
  <si>
    <t xml:space="preserve">Good 8 Squad</t>
  </si>
  <si>
    <t xml:space="preserve">karmine_corp</t>
  </si>
  <si>
    <t xml:space="preserve">Karmine Corp</t>
  </si>
  <si>
    <t xml:space="preserve">og</t>
  </si>
  <si>
    <t xml:space="preserve">OG</t>
  </si>
  <si>
    <t xml:space="preserve">sharper_esports</t>
  </si>
  <si>
    <t xml:space="preserve">Sharper Esports</t>
  </si>
  <si>
    <t xml:space="preserve">spacestation_gaming</t>
  </si>
  <si>
    <t xml:space="preserve">Spacestation Gaming</t>
  </si>
  <si>
    <t xml:space="preserve">the_mongolz</t>
  </si>
  <si>
    <t xml:space="preserve">The MongolZ</t>
  </si>
  <si>
    <t xml:space="preserve">wildcard</t>
  </si>
  <si>
    <t xml:space="preserve">Wildcard</t>
  </si>
  <si>
    <t xml:space="preserve">1w_team</t>
  </si>
  <si>
    <t xml:space="preserve">1w Team</t>
  </si>
  <si>
    <t xml:space="preserve">2game_esports</t>
  </si>
  <si>
    <t xml:space="preserve">2Game Esports</t>
  </si>
  <si>
    <t xml:space="preserve">alliance</t>
  </si>
  <si>
    <t xml:space="preserve">Alliance</t>
  </si>
  <si>
    <t xml:space="preserve">anubis_gaming</t>
  </si>
  <si>
    <t xml:space="preserve">Anubis Gaming</t>
  </si>
  <si>
    <t xml:space="preserve">betboom_team</t>
  </si>
  <si>
    <t xml:space="preserve">BetBoom Team</t>
  </si>
  <si>
    <t xml:space="preserve">bilibili_gaming</t>
  </si>
  <si>
    <t xml:space="preserve">Bilibili Gaming</t>
  </si>
  <si>
    <t xml:space="preserve">drs_gaming</t>
  </si>
  <si>
    <t xml:space="preserve">DRS Gaming</t>
  </si>
  <si>
    <t xml:space="preserve">entity7</t>
  </si>
  <si>
    <t xml:space="preserve">Entity7</t>
  </si>
  <si>
    <t xml:space="preserve">evil_geniuses</t>
  </si>
  <si>
    <t xml:space="preserve">Evil Geniuses</t>
  </si>
  <si>
    <t xml:space="preserve">execration</t>
  </si>
  <si>
    <t xml:space="preserve">Execration</t>
  </si>
  <si>
    <t xml:space="preserve">falcon_esports</t>
  </si>
  <si>
    <t xml:space="preserve">Falcon Esports</t>
  </si>
  <si>
    <t xml:space="preserve">five_fears</t>
  </si>
  <si>
    <t xml:space="preserve">Five Fears</t>
  </si>
  <si>
    <t xml:space="preserve">galaxy_legends</t>
  </si>
  <si>
    <t xml:space="preserve">Galaxy Legends</t>
  </si>
  <si>
    <t xml:space="preserve">gamerlegion</t>
  </si>
  <si>
    <t xml:space="preserve">GamerLegion</t>
  </si>
  <si>
    <t xml:space="preserve">horaa_esports</t>
  </si>
  <si>
    <t xml:space="preserve">Horaa Esports</t>
  </si>
  <si>
    <t xml:space="preserve">ic_esports</t>
  </si>
  <si>
    <t xml:space="preserve">IC Esports</t>
  </si>
  <si>
    <t xml:space="preserve">kingzero_esports</t>
  </si>
  <si>
    <t xml:space="preserve">KINGZERO-eSports</t>
  </si>
  <si>
    <t xml:space="preserve">king_of_gamers_club</t>
  </si>
  <si>
    <t xml:space="preserve">King of Gamers Club</t>
  </si>
  <si>
    <t xml:space="preserve">kuaishou_gaming</t>
  </si>
  <si>
    <t xml:space="preserve">Kuaishou Gaming</t>
  </si>
  <si>
    <t xml:space="preserve">manchester_city_esports</t>
  </si>
  <si>
    <t xml:space="preserve">Manchester City Esports</t>
  </si>
  <si>
    <t xml:space="preserve">nasr_esports</t>
  </si>
  <si>
    <t xml:space="preserve">NASR Esports</t>
  </si>
  <si>
    <t xml:space="preserve">nigma_galaxy</t>
  </si>
  <si>
    <t xml:space="preserve">Nigma Galaxy</t>
  </si>
  <si>
    <t xml:space="preserve">parivision</t>
  </si>
  <si>
    <t xml:space="preserve">PARIVISION</t>
  </si>
  <si>
    <t xml:space="preserve">qing_jiu_club</t>
  </si>
  <si>
    <t xml:space="preserve">Qing Jiu Club</t>
  </si>
  <si>
    <t xml:space="preserve">saishunkan_sol_kumamoto</t>
  </si>
  <si>
    <t xml:space="preserve">Saishunkan Sol Kumamoto</t>
  </si>
  <si>
    <t xml:space="preserve">team_rey</t>
  </si>
  <si>
    <t xml:space="preserve">Team Rey</t>
  </si>
  <si>
    <t xml:space="preserve">team_yandex</t>
  </si>
  <si>
    <t xml:space="preserve">Team Yandex</t>
  </si>
  <si>
    <t xml:space="preserve">the_huns_esports</t>
  </si>
  <si>
    <t xml:space="preserve">The Huns Esports</t>
  </si>
  <si>
    <t xml:space="preserve">true_rippers_esports</t>
  </si>
  <si>
    <t xml:space="preserve">True Rippers Esports</t>
  </si>
  <si>
    <t xml:space="preserve">yesports</t>
  </si>
  <si>
    <t xml:space="preserve">Yesports</t>
  </si>
  <si>
    <t xml:space="preserve">zero_tenacity</t>
  </si>
  <si>
    <t xml:space="preserve">Zero Tenacity</t>
  </si>
  <si>
    <t xml:space="preserve">magic</t>
  </si>
  <si>
    <t xml:space="preserve">pain_gaming</t>
  </si>
  <si>
    <t xml:space="preserve">paiN Gaming</t>
  </si>
  <si>
    <t xml:space="preserve">133 clubs fielded more than one title and are therefore Club Championship eligible. Clubs with a single title are excluded — they cannot score CC points.</t>
  </si>
  <si>
    <t xml:space="preserve">Counter-Strike 2 — EWC 2026</t>
  </si>
  <si>
    <t xml:space="preserve">TEMPLATE TAB — copy this sheet for every new title. Three stacked blocks: 1) field &amp; results, 2) point system, 3) seed reference. All CS2 data below is VERIFIED against liquipedia.net/counterstrike/Esports_World_Cup/2026.</t>
  </si>
  <si>
    <t xml:space="preserve">FORMAT</t>
  </si>
  <si>
    <t xml:space="preserve">FIELD SIZE</t>
  </si>
  <si>
    <t xml:space="preserve">SEED METHOD</t>
  </si>
  <si>
    <t xml:space="preserve">SEED SOURCE</t>
  </si>
  <si>
    <t xml:space="preserve">PLACEMENT GRANULARITY</t>
  </si>
  <si>
    <t xml:space="preserve">4× GSL groups → 16-team single-elim</t>
  </si>
  <si>
    <t xml:space="preserve">32 (confirmed)</t>
  </si>
  <si>
    <t xml:space="preserve">52 · Medium</t>
  </si>
  <si>
    <t xml:space="preserve">A — world rank</t>
  </si>
  <si>
    <t xml:space="preserve">Valve VRS global, 3 Aug 2026 (latest pre-event)</t>
  </si>
  <si>
    <t xml:space="preserve">Bands (5-8, 9-16, 17-32 share points)</t>
  </si>
  <si>
    <t xml:space="preserve">1 · FIELD &amp; RESULTS</t>
  </si>
  <si>
    <t xml:space="preserve">Complete 32-team field, sorted by finishing position. Placements and point table taken from the Liquipedia event page; seeds from Valve's latest pre-event VRS (3 Aug 2026), which reflects form better than the June invite snapshot. June ranks retained in block 3 for reference. Points auto-calculate from block 2 and are checked against official CC points.</t>
  </si>
  <si>
    <t xml:space="preserve">Club</t>
  </si>
  <si>
    <t xml:space="preserve">Seed (VRS Aug)</t>
  </si>
  <si>
    <t xml:space="preserve">Group</t>
  </si>
  <si>
    <t xml:space="preserve">Placement</t>
  </si>
  <si>
    <t xml:space="preserve">Points (auto)</t>
  </si>
  <si>
    <t xml:space="preserve">Official CC pts</t>
  </si>
  <si>
    <t xml:space="preserve">Δ check</t>
  </si>
  <si>
    <t xml:space="preserve">Prize (USD)</t>
  </si>
  <si>
    <t xml:space="preserve">Club (canonical)</t>
  </si>
  <si>
    <t xml:space="preserve">1</t>
  </si>
  <si>
    <t xml:space="preserve">2</t>
  </si>
  <si>
    <t xml:space="preserve">Legacy</t>
  </si>
  <si>
    <t xml:space="preserve">3</t>
  </si>
  <si>
    <t xml:space="preserve">4</t>
  </si>
  <si>
    <t xml:space="preserve">5-8</t>
  </si>
  <si>
    <t xml:space="preserve">9-16</t>
  </si>
  <si>
    <t xml:space="preserve">moved 9→22 between June invite list and event</t>
  </si>
  <si>
    <t xml:space="preserve">moved 22→13 between June invite list and event</t>
  </si>
  <si>
    <t xml:space="preserve">Astralis</t>
  </si>
  <si>
    <t xml:space="preserve">moved 10→19 between June invite list and event</t>
  </si>
  <si>
    <t xml:space="preserve">B8</t>
  </si>
  <si>
    <t xml:space="preserve">moved 7→15 between June invite list and event</t>
  </si>
  <si>
    <t xml:space="preserve">JiJieHao</t>
  </si>
  <si>
    <t xml:space="preserve">17-32</t>
  </si>
  <si>
    <t xml:space="preserve">moved 44→58 between June invite list and event</t>
  </si>
  <si>
    <t xml:space="preserve">Luminosity</t>
  </si>
  <si>
    <t xml:space="preserve">no June VRS entry — returned to CS2 in July 2026</t>
  </si>
  <si>
    <t xml:space="preserve">moved 28→21 between June invite list and event</t>
  </si>
  <si>
    <t xml:space="preserve">K27</t>
  </si>
  <si>
    <t xml:space="preserve">MIBR</t>
  </si>
  <si>
    <t xml:space="preserve">BetBoom</t>
  </si>
  <si>
    <t xml:space="preserve">moved 17→9 between June invite list and event</t>
  </si>
  <si>
    <t xml:space="preserve">moved 47→40 between June invite list and event</t>
  </si>
  <si>
    <t xml:space="preserve">moved 32→18 between June invite list and event</t>
  </si>
  <si>
    <t xml:space="preserve">Lynn Vision</t>
  </si>
  <si>
    <t xml:space="preserve">3DMAX</t>
  </si>
  <si>
    <t xml:space="preserve">9z</t>
  </si>
  <si>
    <t xml:space="preserve">moved 15→4 between June invite list and event</t>
  </si>
  <si>
    <t xml:space="preserve">paiN</t>
  </si>
  <si>
    <t xml:space="preserve">moved 19→26 between June invite list and event</t>
  </si>
  <si>
    <t xml:space="preserve">moved 25→38 between June invite list and event</t>
  </si>
  <si>
    <t xml:space="preserve">TOTAL POINTS AWARDED</t>
  </si>
  <si>
    <t xml:space="preserve">Confirmed total: 1000+750+500+300+(200×4) = 3,350.</t>
  </si>
  <si>
    <t xml:space="preserve">2 · POINT SYSTEM</t>
  </si>
  <si>
    <t xml:space="preserve">CONFIRMED from the Liquipedia event page prize-pool table. Note for other titles: 150- and 50-pt awards appear ONLY in battle royales — playoff titles pay nothing below 8th.</t>
  </si>
  <si>
    <t xml:space="preserve">From place</t>
  </si>
  <si>
    <t xml:space="preserve">Club points</t>
  </si>
  <si>
    <t xml:space="preserve">Band</t>
  </si>
  <si>
    <t xml:space="preserve">1st</t>
  </si>
  <si>
    <t xml:space="preserve">2nd</t>
  </si>
  <si>
    <t xml:space="preserve">3rd</t>
  </si>
  <si>
    <t xml:space="preserve">4th</t>
  </si>
  <si>
    <t xml:space="preserve">5th–8th</t>
  </si>
  <si>
    <t xml:space="preserve">9th–32nd — confirmed no award</t>
  </si>
  <si>
    <t xml:space="preserve">3 · SEED REFERENCE — Valve Regional Standings (June = invite basis, August = pre-event form)</t>
  </si>
  <si>
    <t xml:space="preserve">Source: github.com/ValveSoftware/counter-strike_regional_standings — official, public, versioned. Liquipedia records the invite basis as the June 2026 VRS; August shown alongside to expose form movement between seeding and the event.</t>
  </si>
  <si>
    <t xml:space="preserve">Team</t>
  </si>
  <si>
    <t xml:space="preserve">Jun rank</t>
  </si>
  <si>
    <t xml:space="preserve">Jun rating</t>
  </si>
  <si>
    <t xml:space="preserve">Aug rank</t>
  </si>
  <si>
    <t xml:space="preserve">Aug rating</t>
  </si>
  <si>
    <t xml:space="preserve">Movement</t>
  </si>
  <si>
    <t xml:space="preserve">Chess — EWC 2026</t>
  </si>
  <si>
    <t xml:space="preserve">Built on the CS2 template. Verified against liquipedia.net/chess/Esports_World_Cup/2026. Individual title: rows are PLAYERS, points accrue to their club.</t>
  </si>
  <si>
    <t xml:space="preserve">Play-ins(8) → 2× groups of 8 → 8-player single-elim</t>
  </si>
  <si>
    <t xml:space="preserve">22 players</t>
  </si>
  <si>
    <t xml:space="preserve">8 · Low</t>
  </si>
  <si>
    <t xml:space="preserve">FIDE rapid rating, August 2026 list</t>
  </si>
  <si>
    <t xml:space="preserve">Bands (5-8, 9-22 share points)</t>
  </si>
  <si>
    <t xml:space="preserve">All 22 players with exact placements from the Liquipedia prize table and seeds derived from the FIDE rapid rating list for August 2026 — a genuine pre-event snapshot, since EWC chess ran 11-15 August.</t>
  </si>
  <si>
    <t xml:space="preserve">Player</t>
  </si>
  <si>
    <t xml:space="preserve">Seed (rapid rank)</t>
  </si>
  <si>
    <t xml:space="preserve">Qualification route</t>
  </si>
  <si>
    <t xml:space="preserve">Magnus Carlsen</t>
  </si>
  <si>
    <t xml:space="preserve">EWC 2025 Champion</t>
  </si>
  <si>
    <t xml:space="preserve">Denis Lazavik</t>
  </si>
  <si>
    <t xml:space="preserve">SCC 2025 / CCT points</t>
  </si>
  <si>
    <t xml:space="preserve">Hikaru Nakamura</t>
  </si>
  <si>
    <t xml:space="preserve">CCT 2025-26 Circuit Points</t>
  </si>
  <si>
    <t xml:space="preserve">Alireza Firouzja</t>
  </si>
  <si>
    <t xml:space="preserve">SCC 2025</t>
  </si>
  <si>
    <t xml:space="preserve">Nihal Sarin</t>
  </si>
  <si>
    <t xml:space="preserve">GodLike Esports</t>
  </si>
  <si>
    <t xml:space="preserve">Hans Moke Niemann</t>
  </si>
  <si>
    <t xml:space="preserve">Nodirbek Abdusattorov</t>
  </si>
  <si>
    <t xml:space="preserve">Arjun Erigaisi</t>
  </si>
  <si>
    <t xml:space="preserve">CCT points (replacement for Caruana)</t>
  </si>
  <si>
    <t xml:space="preserve">Jan-Krzysztof Duda</t>
  </si>
  <si>
    <t xml:space="preserve">9-12</t>
  </si>
  <si>
    <t xml:space="preserve">Chess.com Open 2026</t>
  </si>
  <si>
    <t xml:space="preserve">Pranesh M</t>
  </si>
  <si>
    <t xml:space="preserve">CCT points (replacement for MVL)</t>
  </si>
  <si>
    <t xml:space="preserve">Ian Nepomniachtchi</t>
  </si>
  <si>
    <t xml:space="preserve">Team Stallions</t>
  </si>
  <si>
    <t xml:space="preserve">Sina Movahed</t>
  </si>
  <si>
    <t xml:space="preserve">Wei Yi</t>
  </si>
  <si>
    <t xml:space="preserve">13-16</t>
  </si>
  <si>
    <t xml:space="preserve">Last Chance Qualifier</t>
  </si>
  <si>
    <t xml:space="preserve">Team MGD1</t>
  </si>
  <si>
    <t xml:space="preserve">Benjamin Bok</t>
  </si>
  <si>
    <t xml:space="preserve">India Rising 2026</t>
  </si>
  <si>
    <t xml:space="preserve">Andrey Esipenko</t>
  </si>
  <si>
    <t xml:space="preserve">DH Atlanta</t>
  </si>
  <si>
    <t xml:space="preserve">Alexey Sarana</t>
  </si>
  <si>
    <t xml:space="preserve">DH Atlanta / higher seed via CCT</t>
  </si>
  <si>
    <t xml:space="preserve">Vladislav Artemiev</t>
  </si>
  <si>
    <t xml:space="preserve">17</t>
  </si>
  <si>
    <t xml:space="preserve">(no club)</t>
  </si>
  <si>
    <t xml:space="preserve">Parham Maghsoodloo</t>
  </si>
  <si>
    <t xml:space="preserve">18</t>
  </si>
  <si>
    <t xml:space="preserve">Olexandr Bortnyk</t>
  </si>
  <si>
    <t xml:space="preserve">19-20</t>
  </si>
  <si>
    <t xml:space="preserve">Alexander Grischuk</t>
  </si>
  <si>
    <t xml:space="preserve">Aravindh Chithambaram</t>
  </si>
  <si>
    <t xml:space="preserve">21-22</t>
  </si>
  <si>
    <t xml:space="preserve">Team Flash</t>
  </si>
  <si>
    <t xml:space="preserve">Lê Quang Liêm</t>
  </si>
  <si>
    <t xml:space="preserve">1000+750+500+300+(200×4) = 3,350 awarded to players. Club totals differ: a club scores only its BEST placement per title — Falcons had both Nakamura (3rd) and Firouzja (4th) but scored 500, not 800.</t>
  </si>
  <si>
    <t xml:space="preserve">Read directly from the Liquipedia prize-pool table, which lists club points and prize money for every placement band down to 21st–22nd. Club points stop after 8th; prize money continues to 22nd (all $1.5M accounted for).</t>
  </si>
  <si>
    <t xml:space="preserve">5th-8th</t>
  </si>
  <si>
    <t xml:space="preserve">9th-22nd (prize money only)</t>
  </si>
  <si>
    <t xml:space="preserve">3 · SEED REFERENCE — FIDE rapid rating list, August 2026</t>
  </si>
  <si>
    <t xml:space="preserve">Source: ratings.fide.com, official rapid list for the August 2026 period (the last published before the event). Rapid is the format played at EWC — standard and blitz ratings are different scales and must not be mixed in. Four players sit outside the world top 100; their ratings come from their national rapid lists for the same period, so world rank is not available for them but the rating itself is directly comparable.</t>
  </si>
  <si>
    <t xml:space="preserve">Seed</t>
  </si>
  <si>
    <t xml:space="preserve">Rapid rating</t>
  </si>
  <si>
    <t xml:space="preserve">World rank</t>
  </si>
  <si>
    <t xml:space="preserve">Seed − result</t>
  </si>
  <si>
    <t xml:space="preserve">Seed − result: positive = finished better than rating suggested (Lazavik seeded 17th, finished 2nd). Negative = underperformed. This column is the raw material for calibrating chess volatility once several editions exist.</t>
  </si>
  <si>
    <t xml:space="preserve">League of Legends — EWC 2026</t>
  </si>
  <si>
    <t xml:space="preserve">Cohort-seeded title. Regions and cohorts below are SUGGESTIONS — the Liquipedia page carries no participant/region table, so confirm both. Cohort is a dropdown; the model in block 4 turns it into simulator inputs.</t>
  </si>
  <si>
    <t xml:space="preserve">4 groups → playoffs</t>
  </si>
  <si>
    <t xml:space="preserve">16 teams</t>
  </si>
  <si>
    <t xml:space="preserve">40 · Low</t>
  </si>
  <si>
    <t xml:space="preserve">D — cohort seeding</t>
  </si>
  <si>
    <t xml:space="preserve">Manual: region + international pedigree</t>
  </si>
  <si>
    <t xml:space="preserve">Bands (5-8, 9-12, 13-16)</t>
  </si>
  <si>
    <t xml:space="preserve">All 16 teams with exact placement bands and prize money from the Liquipedia prize table. Cohort drives the simulator — edit it directly.</t>
  </si>
  <si>
    <t xml:space="preserve">Region</t>
  </si>
  <si>
    <t xml:space="preserve">Cohort</t>
  </si>
  <si>
    <t xml:space="preserve">LCK</t>
  </si>
  <si>
    <t xml:space="preserve">High</t>
  </si>
  <si>
    <t xml:space="preserve">LEC</t>
  </si>
  <si>
    <t xml:space="preserve">Medium</t>
  </si>
  <si>
    <t xml:space="preserve">Hanwha Life Esports</t>
  </si>
  <si>
    <t xml:space="preserve">LPL</t>
  </si>
  <si>
    <t xml:space="preserve">LTA North</t>
  </si>
  <si>
    <t xml:space="preserve">LCP</t>
  </si>
  <si>
    <t xml:space="preserve">Low</t>
  </si>
  <si>
    <t xml:space="preserve">LTA South</t>
  </si>
  <si>
    <t xml:space="preserve">Team Secret</t>
  </si>
  <si>
    <t xml:space="preserve">3,350 club points awarded. Prize money sums to $2,000,000 of the $2,025,000 pool — the $25,000 balance is an MVP award, as in CS2.</t>
  </si>
  <si>
    <t xml:space="preserve">From the Liquipedia prize table. Identical curve to CS2 and Chess: club points stop after 8th, prize money continues to 16th.</t>
  </si>
  <si>
    <t xml:space="preserve">9th-16th (prize money only)</t>
  </si>
  <si>
    <t xml:space="preserve">3 · COHORT MODEL — how a band becomes a number the simulator can use</t>
  </si>
  <si>
    <t xml:space="preserve">A cohort is not a seed, it is a RANGE. The simulator never collapses a band to a single rank — that would create artificial ties and understate variance. Instead each cohort maps to a latent strength distribution: a mean position (the midpoint of its band) and a spread (how uncertain we are within the band). On every run each team draws a strength value from its own distribution, the field is re-ranked by those draws, and the resulting order becomes that run's finishing order. Two independent noise sources are combined: SEED UNCERTAINTY (we do not know the order inside a cohort) and TITLE VOLATILITY (the title scrambles outcomes regardless of seed). They add in quadrature — sigma_total = SQRT(sigma_within^2 + sigma_title^2) — because they are independent. This is why the same machinery serves every seed method: a VRS rating gives a precise mean and a small sigma_within; a cohort gives a coarse mean and a large one. Change a team's cohort and its mean moves; change the TVI and every team's spread moves together.</t>
  </si>
  <si>
    <t xml:space="preserve">Teams (auto)</t>
  </si>
  <si>
    <t xml:space="preserve">Band from (auto)</t>
  </si>
  <si>
    <t xml:space="preserve">Band to (auto)</t>
  </si>
  <si>
    <t xml:space="preserve">Mean position (mu)</t>
  </si>
  <si>
    <t xml:space="preserve">Within-cohort sigma</t>
  </si>
  <si>
    <t xml:space="preserve">Title sigma</t>
  </si>
  <si>
    <t xml:space="preserve">Total sigma</t>
  </si>
  <si>
    <t xml:space="preserve">Bands derive automatically from the cohort dropdowns above — reassign a team and every band, mu and sigma updates. Only the two blue cells below are inputs.</t>
  </si>
  <si>
    <t xml:space="preserve">TVI (title volatility)</t>
  </si>
  <si>
    <t xml:space="preserve">Field size</t>
  </si>
  <si>
    <t xml:space="preserve">Simulator draw, per run and per team:  strength = mu + NORM.INV(RAND(), 0, total sigma)  →  rank the 16 draws ascending  →  that run's finishing order  →  points from block 2.</t>
  </si>
  <si>
    <t xml:space="preserve">Sanity check from EWC26: all 7 High-cohort teams finished top 8. The single miss was Karmine Corp (Medium) at 2nd — so a Medium team reaching a final is roughly the tail event this model should produce occasionally, not never.</t>
  </si>
  <si>
    <t xml:space="preserve">PUBG Mobile — EWC 2026</t>
  </si>
  <si>
    <t xml:space="preserve">Battle royale. Listed on Liquipedia as 'PUBG Mobile World Cup 2026'. Every placement 1-8 pays a DIFFERENT club-point value — no shared bands, unlike the playoff titles.</t>
  </si>
  <si>
    <t xml:space="preserve">Groups → Survival Stage → Grand Finals</t>
  </si>
  <si>
    <t xml:space="preserve">32 teams</t>
  </si>
  <si>
    <t xml:space="preserve">78 · High</t>
  </si>
  <si>
    <t xml:space="preserve">E — no credible seed</t>
  </si>
  <si>
    <t xml:space="preserve">n/a — see block 3</t>
  </si>
  <si>
    <t xml:space="preserve">Exact 1-26, ties from 27th</t>
  </si>
  <si>
    <t xml:space="preserve">All 32 teams with exact placements and prize money from the Liquipedia prize table. Seed column is deliberately empty — see the seed note in block 3. Qualification route and region are recorded as data, not used as a seed.</t>
  </si>
  <si>
    <t xml:space="preserve">Türkiye</t>
  </si>
  <si>
    <t xml:space="preserve">Türkiye Points (top 4)</t>
  </si>
  <si>
    <t xml:space="preserve">Korea</t>
  </si>
  <si>
    <t xml:space="preserve">Korea (champion)</t>
  </si>
  <si>
    <t xml:space="preserve">EECA</t>
  </si>
  <si>
    <t xml:space="preserve">EECA Points (top 3)</t>
  </si>
  <si>
    <t xml:space="preserve">SEA</t>
  </si>
  <si>
    <t xml:space="preserve">Southeast Asia Points (top 4)</t>
  </si>
  <si>
    <t xml:space="preserve">Tianba</t>
  </si>
  <si>
    <t xml:space="preserve">China</t>
  </si>
  <si>
    <t xml:space="preserve">5</t>
  </si>
  <si>
    <t xml:space="preserve">2026 PEL Points (top 3)</t>
  </si>
  <si>
    <t xml:space="preserve">4Thrives Esports</t>
  </si>
  <si>
    <t xml:space="preserve">South Asia</t>
  </si>
  <si>
    <t xml:space="preserve">6</t>
  </si>
  <si>
    <t xml:space="preserve">South Asia Points (top 2)</t>
  </si>
  <si>
    <t xml:space="preserve">4thrives Esports</t>
  </si>
  <si>
    <t xml:space="preserve">7</t>
  </si>
  <si>
    <t xml:space="preserve">8</t>
  </si>
  <si>
    <t xml:space="preserve">MENA</t>
  </si>
  <si>
    <t xml:space="preserve">9</t>
  </si>
  <si>
    <t xml:space="preserve">MENA Points (top 5)</t>
  </si>
  <si>
    <t xml:space="preserve">Americas</t>
  </si>
  <si>
    <t xml:space="preserve">10</t>
  </si>
  <si>
    <t xml:space="preserve">Americas Points (top 3)</t>
  </si>
  <si>
    <t xml:space="preserve">ULF Esports</t>
  </si>
  <si>
    <t xml:space="preserve">11</t>
  </si>
  <si>
    <t xml:space="preserve">12</t>
  </si>
  <si>
    <t xml:space="preserve">Southeast Asia Points (as Bigetron by Vitality)</t>
  </si>
  <si>
    <t xml:space="preserve">India</t>
  </si>
  <si>
    <t xml:space="preserve">13</t>
  </si>
  <si>
    <t xml:space="preserve">2026 BGMI Pro Series (champion)</t>
  </si>
  <si>
    <t xml:space="preserve">AlUla Club Esports</t>
  </si>
  <si>
    <t xml:space="preserve">14</t>
  </si>
  <si>
    <t xml:space="preserve">Orangutan</t>
  </si>
  <si>
    <t xml:space="preserve">15</t>
  </si>
  <si>
    <t xml:space="preserve">2026 India Points (champion)</t>
  </si>
  <si>
    <t xml:space="preserve">IDA Esports</t>
  </si>
  <si>
    <t xml:space="preserve">16</t>
  </si>
  <si>
    <t xml:space="preserve">GOAT Team</t>
  </si>
  <si>
    <t xml:space="preserve">19</t>
  </si>
  <si>
    <t xml:space="preserve">20</t>
  </si>
  <si>
    <t xml:space="preserve">2026 PEL Points (as All Gamers)</t>
  </si>
  <si>
    <t xml:space="preserve">DOPENESS</t>
  </si>
  <si>
    <t xml:space="preserve">Japan</t>
  </si>
  <si>
    <t xml:space="preserve">21</t>
  </si>
  <si>
    <t xml:space="preserve">Japan (champion)</t>
  </si>
  <si>
    <t xml:space="preserve">22</t>
  </si>
  <si>
    <t xml:space="preserve">23</t>
  </si>
  <si>
    <t xml:space="preserve">Southeast Asia Points (as RRQ RYU)</t>
  </si>
  <si>
    <t xml:space="preserve">24</t>
  </si>
  <si>
    <t xml:space="preserve">2025 PMWC (defending champion)</t>
  </si>
  <si>
    <t xml:space="preserve">25</t>
  </si>
  <si>
    <t xml:space="preserve">2026 Rivals Cup (champion)</t>
  </si>
  <si>
    <t xml:space="preserve">GS 721</t>
  </si>
  <si>
    <t xml:space="preserve">26</t>
  </si>
  <si>
    <t xml:space="preserve">MENA Points (as 721 Esports)</t>
  </si>
  <si>
    <t xml:space="preserve">XForce Rejects</t>
  </si>
  <si>
    <t xml:space="preserve">Africa</t>
  </si>
  <si>
    <t xml:space="preserve">27-28</t>
  </si>
  <si>
    <t xml:space="preserve">Africa Points (champion)</t>
  </si>
  <si>
    <t xml:space="preserve">ETSH Esports</t>
  </si>
  <si>
    <t xml:space="preserve">ThunderTalk Gaming</t>
  </si>
  <si>
    <t xml:space="preserve">29-30</t>
  </si>
  <si>
    <t xml:space="preserve">TT Project</t>
  </si>
  <si>
    <t xml:space="preserve">Gaming Stars Esports</t>
  </si>
  <si>
    <t xml:space="preserve">31-32</t>
  </si>
  <si>
    <t xml:space="preserve">Hustler Crew</t>
  </si>
  <si>
    <t xml:space="preserve">W. Europe</t>
  </si>
  <si>
    <t xml:space="preserve">Western Europe Points (champion)</t>
  </si>
  <si>
    <t xml:space="preserve">Place</t>
  </si>
  <si>
    <t xml:space="preserve">9th and below — no award</t>
  </si>
  <si>
    <t xml:space="preserve">3 · SEED — METHOD E, DELIBERATELY NONE</t>
  </si>
  <si>
    <t xml:space="preserve">Why no seed. Every team qualified by winning or placing in its own regional points race, so the only ranking that exists is WITHIN a region — there is no cross-region ladder that would let us say a 3rd-placed Türkiye team is stronger or weaker than a 2nd-placed SEA team. Manufacturing one would be a guess dressed as data. The 2026 result supports leaving it out: the top eight came from six different regions, and the champion, S2G Esports, qualified 3rd of four from Türkiye. What method E means in the model: every team shares the same mean strength, so outcomes are driven entirely by the title sigma. Expected club points are identical for all 32 teams at 3,050 / 32 = 95.3 per team. That is the correct representation of a title we cannot forecast. Region and qualification route are recorded above as data so that, once several editions exist, we can TEST whether region predicts placement — and upgrade this title to method D (cohort) only if the evidence supports it.</t>
  </si>
  <si>
    <t xml:space="preserve">Teams entered</t>
  </si>
  <si>
    <t xml:space="preserve">Best club points</t>
  </si>
  <si>
    <t xml:space="preserve">Teams in top 8</t>
  </si>
  <si>
    <t xml:space="preserve">This block is the evidence base for revisiting method E later. If one region were to dominate the top 8 across several editions, cohort seeding would become justified.</t>
  </si>
  <si>
    <t xml:space="preserve">Fortnite Reload — EWC 2026</t>
  </si>
  <si>
    <t xml:space="preserve">Duos battle royale. Listed on Liquipedia as 'Reload Elite Series 2026 - Championship'. Same BR point curve as PUBG Mobile: every placement 1-8 pays a different value.</t>
  </si>
  <si>
    <t xml:space="preserve">Duos BR — Reload mode</t>
  </si>
  <si>
    <t xml:space="preserve">40 duos</t>
  </si>
  <si>
    <t xml:space="preserve">80 · High</t>
  </si>
  <si>
    <t xml:space="preserve">E + elite override (hybrid)</t>
  </si>
  <si>
    <t xml:space="preserve">Reload-format results only — see block 3</t>
  </si>
  <si>
    <t xml:space="preserve">Exact 1-34, ties from 35th</t>
  </si>
  <si>
    <t xml:space="preserve">All 40 duos with exact placements and prize money. Tier column is the hybrid seed input — default is Field for everyone, which behaves exactly as method E until you promote a duo to Elite.</t>
  </si>
  <si>
    <t xml:space="preserve">Duo</t>
  </si>
  <si>
    <t xml:space="preserve">Tier</t>
  </si>
  <si>
    <t xml:space="preserve">vic0 &amp; Malibuca</t>
  </si>
  <si>
    <t xml:space="preserve">Field</t>
  </si>
  <si>
    <t xml:space="preserve">Mixed</t>
  </si>
  <si>
    <t xml:space="preserve">Momsy &amp; SkyJump</t>
  </si>
  <si>
    <t xml:space="preserve">Momsy: Lyost Esport / SkyJump: Ravens Esports</t>
  </si>
  <si>
    <t xml:space="preserve">shxrk &amp; t3eny</t>
  </si>
  <si>
    <t xml:space="preserve">HavoK by Vitality</t>
  </si>
  <si>
    <t xml:space="preserve">SwizzY &amp; Pixie</t>
  </si>
  <si>
    <t xml:space="preserve">Scored as a separate club — canonical join changed to HavoK by Vitality</t>
  </si>
  <si>
    <t xml:space="preserve">Lewa &amp; Romero</t>
  </si>
  <si>
    <t xml:space="preserve">charyy &amp; Kami</t>
  </si>
  <si>
    <t xml:space="preserve">VicterV &amp; Khanada</t>
  </si>
  <si>
    <t xml:space="preserve">Demus &amp; Darm</t>
  </si>
  <si>
    <t xml:space="preserve">Faded &amp; Kaan</t>
  </si>
  <si>
    <t xml:space="preserve">SaLva &amp; Yassen</t>
  </si>
  <si>
    <t xml:space="preserve">Sky &amp; Scroll</t>
  </si>
  <si>
    <t xml:space="preserve">Peterbot &amp; Pollo</t>
  </si>
  <si>
    <t xml:space="preserve">Tjino &amp; PabloWingu</t>
  </si>
  <si>
    <t xml:space="preserve">josh &amp; Eomzo</t>
  </si>
  <si>
    <t xml:space="preserve">Minipiyo &amp; FuuKun</t>
  </si>
  <si>
    <t xml:space="preserve">Minipiyo: ZETA DIVISION / FuuKun: QT DIG</t>
  </si>
  <si>
    <t xml:space="preserve">Nociff &amp; Izzi</t>
  </si>
  <si>
    <t xml:space="preserve">Muz &amp; Sphinx</t>
  </si>
  <si>
    <t xml:space="preserve">Muz: XSET / Sphinx: unlisted</t>
  </si>
  <si>
    <t xml:space="preserve">Cold &amp; Rapid</t>
  </si>
  <si>
    <t xml:space="preserve">Goofy &amp; ZDog</t>
  </si>
  <si>
    <t xml:space="preserve">Goofy: PWR / ZDog: JFT Esports</t>
  </si>
  <si>
    <t xml:space="preserve">Acorn &amp; Boltz</t>
  </si>
  <si>
    <t xml:space="preserve">Koyota &amp; yuma</t>
  </si>
  <si>
    <t xml:space="preserve">Bugha &amp; Braydz</t>
  </si>
  <si>
    <t xml:space="preserve">Braydz: XP42 Esports / Bugha: unlisted</t>
  </si>
  <si>
    <t xml:space="preserve">Night &amp; 916Gon</t>
  </si>
  <si>
    <t xml:space="preserve">Cringe &amp; Volko</t>
  </si>
  <si>
    <t xml:space="preserve">Cringe: 7VEN / Volko: Northern Star Gaming</t>
  </si>
  <si>
    <t xml:space="preserve">JOGO</t>
  </si>
  <si>
    <t xml:space="preserve">Oatley &amp; Spookz</t>
  </si>
  <si>
    <t xml:space="preserve">Mofu &amp; tomat</t>
  </si>
  <si>
    <t xml:space="preserve">Mshary &amp; 5aald</t>
  </si>
  <si>
    <t xml:space="preserve">27</t>
  </si>
  <si>
    <t xml:space="preserve">Mshary: Vision Esports / 5aald: unlisted</t>
  </si>
  <si>
    <t xml:space="preserve">RVL ESPORT</t>
  </si>
  <si>
    <t xml:space="preserve">Moda &amp; Rew</t>
  </si>
  <si>
    <t xml:space="preserve">28</t>
  </si>
  <si>
    <t xml:space="preserve">Vazen &amp; Anon</t>
  </si>
  <si>
    <t xml:space="preserve">29</t>
  </si>
  <si>
    <t xml:space="preserve">Vazen: Coast Esports / Anon: PWR</t>
  </si>
  <si>
    <t xml:space="preserve">panzer &amp; Japko</t>
  </si>
  <si>
    <t xml:space="preserve">30</t>
  </si>
  <si>
    <t xml:space="preserve">Edson &amp; Phzin</t>
  </si>
  <si>
    <t xml:space="preserve">31</t>
  </si>
  <si>
    <t xml:space="preserve">Shadow &amp; Vergo</t>
  </si>
  <si>
    <t xml:space="preserve">32</t>
  </si>
  <si>
    <t xml:space="preserve">Shadow: Natrix Esports / Vergo: Gentle Mates</t>
  </si>
  <si>
    <t xml:space="preserve">Unlisted</t>
  </si>
  <si>
    <t xml:space="preserve">Aoxy &amp; Jojofishy</t>
  </si>
  <si>
    <t xml:space="preserve">33</t>
  </si>
  <si>
    <t xml:space="preserve">ONIC Esports</t>
  </si>
  <si>
    <t xml:space="preserve">phoenix &amp; Retro</t>
  </si>
  <si>
    <t xml:space="preserve">34</t>
  </si>
  <si>
    <t xml:space="preserve">Rainy &amp; Nalu</t>
  </si>
  <si>
    <t xml:space="preserve">35-36</t>
  </si>
  <si>
    <t xml:space="preserve">Rainy: DetonatioN FocusMe / Nalu: KIT Gaming Elite</t>
  </si>
  <si>
    <t xml:space="preserve">Salko &amp; Inact</t>
  </si>
  <si>
    <t xml:space="preserve">Fnatic entry</t>
  </si>
  <si>
    <t xml:space="preserve">EpikWhale &amp; PXMP</t>
  </si>
  <si>
    <t xml:space="preserve">37-38</t>
  </si>
  <si>
    <t xml:space="preserve">EpikWhale: XP42 Esports / PXMP: Elite Esports</t>
  </si>
  <si>
    <t xml:space="preserve">Seven &amp; axadasz</t>
  </si>
  <si>
    <t xml:space="preserve">Seven: 7VEN / axadasz: Natrix Esports</t>
  </si>
  <si>
    <t xml:space="preserve">PWR</t>
  </si>
  <si>
    <t xml:space="preserve">alex &amp; Wreckless</t>
  </si>
  <si>
    <t xml:space="preserve">39-40</t>
  </si>
  <si>
    <t xml:space="preserve">Snowvaks &amp; Henchman</t>
  </si>
  <si>
    <t xml:space="preserve">3,050 club points awarded (BR curve). Prize money sums to $1,000,000 of the $1,025,000 pool.</t>
  </si>
  <si>
    <t xml:space="preserve">3 · HYBRID SEED — WHY, AND THE TRAP TO AVOID</t>
  </si>
  <si>
    <t xml:space="preserve">The hybrid. Default is method E: every duo shares one mean strength, so the title sigma alone drives outcomes. Promoting a duo to Elite in the Tier column gives it a stronger mean while the rest of the field stays undifferentiated — mechanically this is a two-cohort version of method D, with a small top band and one large flat band. It is the right shape when a handful of entrants are genuinely stronger but the remaining field cannot be ordered. THE TRAP: seed on RELOAD form, not Fortnite reputation. EWC26 is the evidence. Peterbot, widely rated the best Fortnite player in the world, finished 12th. Bugha, the 2019 World Cup champion, finished 22nd. EpikWhale finished 37th-38th. Meanwhile the winners, vic0 and Malibuca, arrived on the back of consecutive Reload LAN wins. Reload is a distinct mode with its own skillset, and general Fortnite pedigree predicted almost nothing here. If the Elite tier is populated from name recognition it will make the model worse than method E, not better. Populate it only from recent Reload-format results, and keep it small - two to four duos.</t>
  </si>
  <si>
    <t xml:space="preserve">Duos (auto)</t>
  </si>
  <si>
    <t xml:space="preserve">Band from</t>
  </si>
  <si>
    <t xml:space="preserve">Band to</t>
  </si>
  <si>
    <t xml:space="preserve">Mean (mu)</t>
  </si>
  <si>
    <t xml:space="preserve">Within sigma</t>
  </si>
  <si>
    <t xml:space="preserve">Elite</t>
  </si>
  <si>
    <t xml:space="preserve">With every duo set to Field the Elite band is empty and the model is pure method E — expected points identical for all 40 duos at 3,050 / 40 = 76.3.</t>
  </si>
  <si>
    <t xml:space="preserve">OPEN QUESTION — mixed-club duos. Ten of the 40 duos pair players from different clubs (marked 'Mixed'). It is not established how the Club Championship allocates points for those, and no mixed duo finished top 8 except 2nd place (Momsy of Lyost with SkyJump of Ravens), neither of whom is a CC top-24 club, so it cannot be verified from the data we hold. Resolve before simulating this title.</t>
  </si>
  <si>
    <t xml:space="preserve">ANOMALY — HavoK by Vitality finished 4th, worth 300 points, but Team Vitality scored 0 in Fortnite. Either HavoK counts as a separate club, or the entry was ineligible for club points (the Clubs page marks some entries as not eligible due to joint ventures or late signings). Worth confirming, as it affects how partner-brand entries are modelled. RESOLVED: with all 25 titles built, crediting the 300 to Team Vitality puts them 300 above their official 3,300, and removing it reconciles them exactly. The entry is therefore joined as its own club, HavoK by Vitality, not as a Vitality entry.</t>
  </si>
  <si>
    <t xml:space="preserve">Trackmania — EWC 2026</t>
  </si>
  <si>
    <t xml:space="preserve">1v1 racing. Seeds from the Elite Cup 2026 final standings — Ubisoft Nadeo's official Road-to-EWC ladder, method A.</t>
  </si>
  <si>
    <t xml:space="preserve">Knockout, 32 players</t>
  </si>
  <si>
    <t xml:space="preserve">32 players</t>
  </si>
  <si>
    <t xml:space="preserve">22 · Low</t>
  </si>
  <si>
    <t xml:space="preserve">A — official qualification ladder</t>
  </si>
  <si>
    <t xml:space="preserve">Elite Cup 2026 standings (Feb–May 26)</t>
  </si>
  <si>
    <t xml:space="preserve">Bands (5-6, 7-8, then fours)</t>
  </si>
  <si>
    <t xml:space="preserve">All 32 players. Seed is the field ranked 1-32 by Elite Cup finishing position; the raw Elite Cup rank is kept alongside so the gap between ladder form and event result stays visible.</t>
  </si>
  <si>
    <t xml:space="preserve">Elite Cup rank</t>
  </si>
  <si>
    <t xml:space="preserve">Gwen</t>
  </si>
  <si>
    <t xml:space="preserve">competes as All Gamers Global</t>
  </si>
  <si>
    <t xml:space="preserve">Epos</t>
  </si>
  <si>
    <t xml:space="preserve">Pac</t>
  </si>
  <si>
    <t xml:space="preserve">mime</t>
  </si>
  <si>
    <t xml:space="preserve">eLconn21</t>
  </si>
  <si>
    <t xml:space="preserve">5-6</t>
  </si>
  <si>
    <t xml:space="preserve">GranaDy</t>
  </si>
  <si>
    <t xml:space="preserve">Otaaaq</t>
  </si>
  <si>
    <t xml:space="preserve">7-8</t>
  </si>
  <si>
    <t xml:space="preserve">Liquid's second entry — best-only rule means it scores nothing</t>
  </si>
  <si>
    <t xml:space="preserve">Stufts</t>
  </si>
  <si>
    <t xml:space="preserve">Binkss</t>
  </si>
  <si>
    <t xml:space="preserve">Elite Cup winner; AG.AL second entry</t>
  </si>
  <si>
    <t xml:space="preserve">Carl Jr.</t>
  </si>
  <si>
    <t xml:space="preserve">Massa</t>
  </si>
  <si>
    <t xml:space="preserve">BIG second entry</t>
  </si>
  <si>
    <t xml:space="preserve">VP x Neon</t>
  </si>
  <si>
    <t xml:space="preserve">Pusztitopako</t>
  </si>
  <si>
    <t xml:space="preserve">partner brand — points did not accrue to Virtus.pro</t>
  </si>
  <si>
    <t xml:space="preserve">Bren</t>
  </si>
  <si>
    <t xml:space="preserve">w.</t>
  </si>
  <si>
    <t xml:space="preserve">josh1248</t>
  </si>
  <si>
    <t xml:space="preserve">neon</t>
  </si>
  <si>
    <t xml:space="preserve">Richie</t>
  </si>
  <si>
    <t xml:space="preserve">listed as Richie1308 in Elite Cup</t>
  </si>
  <si>
    <t xml:space="preserve">Mudda</t>
  </si>
  <si>
    <t xml:space="preserve">17-20</t>
  </si>
  <si>
    <t xml:space="preserve">Nayko</t>
  </si>
  <si>
    <t xml:space="preserve">Whizzy</t>
  </si>
  <si>
    <t xml:space="preserve">Wosile</t>
  </si>
  <si>
    <t xml:space="preserve">Affi</t>
  </si>
  <si>
    <t xml:space="preserve">21-24</t>
  </si>
  <si>
    <t xml:space="preserve">Flimsy</t>
  </si>
  <si>
    <t xml:space="preserve">LinkMax</t>
  </si>
  <si>
    <t xml:space="preserve">UNVERIFIED Elite Cup match — two entries named 'link' (65, 82)</t>
  </si>
  <si>
    <t xml:space="preserve">Soulja</t>
  </si>
  <si>
    <t xml:space="preserve">Cemko</t>
  </si>
  <si>
    <t xml:space="preserve">25-28</t>
  </si>
  <si>
    <t xml:space="preserve">Charles</t>
  </si>
  <si>
    <t xml:space="preserve">L1ngo</t>
  </si>
  <si>
    <t xml:space="preserve">GodLike second entry</t>
  </si>
  <si>
    <t xml:space="preserve">Neal</t>
  </si>
  <si>
    <t xml:space="preserve">S8UL second entry</t>
  </si>
  <si>
    <t xml:space="preserve">Baiwack</t>
  </si>
  <si>
    <t xml:space="preserve">29-32</t>
  </si>
  <si>
    <t xml:space="preserve">JSwag</t>
  </si>
  <si>
    <t xml:space="preserve">Fnatic entry; listed as J_Swag in Elite Cup</t>
  </si>
  <si>
    <t xml:space="preserve">noiszia</t>
  </si>
  <si>
    <t xml:space="preserve">Spark</t>
  </si>
  <si>
    <t xml:space="preserve">S8UL third entry</t>
  </si>
  <si>
    <t xml:space="preserve">3,150 club points — a THIRD distinct total. Playoff titles award 3,350, battle royales 3,050, Trackmania 3,150. Prize money sums to the full $500,000.</t>
  </si>
  <si>
    <t xml:space="preserve">5th-6th</t>
  </si>
  <si>
    <t xml:space="preserve">7th-8th</t>
  </si>
  <si>
    <t xml:space="preserve">9th-32nd</t>
  </si>
  <si>
    <t xml:space="preserve">3 · SEED SOURCE — Elite Cup 2026</t>
  </si>
  <si>
    <t xml:space="preserve">The Elite Cup is Ubisoft Nadeo's official Road-to-EWC ladder, run online from February to May 2026 across ten map-nations, with 126 ranked participants. It is the only published pre-event ranking for Trackmania, it is the mechanism that actually awarded EWC slots, and it is ordinal rather than a rating — so seeds carry rank but no strength gaps. WHAT 2026 SHOWED: the ladder did not transfer cleanly to the LAN. Elite Cup winner Binkss finished 9th-12th; 2nd-placed GranaDy took 5th-6th; 3rd-placed Massa 9th-12th; 4th-placed Mudda 17th-20th. The EWC champion Gwen came from 9th on the ladder and the runner-up Epos from 18th. That is a weaker seed-to-outcome relationship than the TVI of 22 implies, and worth watching: Trackmania is scored as a low-volatility title on the strength of an elite that converts, but the ladder rank itself proved a poor predictor of finishing position at this event.</t>
  </si>
  <si>
    <t xml:space="preserve">Result</t>
  </si>
  <si>
    <t xml:space="preserve">Dota 2 — EWC 2026</t>
  </si>
  <si>
    <t xml:space="preserve">Seeds from the ESL Pro Tour 2025/2026 Leaderboard — method A, and unusually good, because EPT publishes numeric points rather than bare ranks.</t>
  </si>
  <si>
    <t xml:space="preserve">Round-robin groups → single-elim</t>
  </si>
  <si>
    <t xml:space="preserve">24 teams</t>
  </si>
  <si>
    <t xml:space="preserve">55 · Medium</t>
  </si>
  <si>
    <t xml:space="preserve">A — circuit points</t>
  </si>
  <si>
    <t xml:space="preserve">ESL Pro Tour 2025/26 Leaderboard</t>
  </si>
  <si>
    <t xml:space="preserve">Bands (5-8, then fours)</t>
  </si>
  <si>
    <t xml:space="preserve">All 24 teams. Seed ranks the field by EPT points; five teams carry no EPT ranking and are seeded last, flagged in Notes. Event names differ from club names in several cases (PVISION/PARIVISION, BB Team/BetBoom, PTime/PlayTime) — the Club column carries the canonical name used for reconciliation.</t>
  </si>
  <si>
    <t xml:space="preserve">Event name</t>
  </si>
  <si>
    <t xml:space="preserve">EPT rank</t>
  </si>
  <si>
    <t xml:space="preserve">EPT points</t>
  </si>
  <si>
    <t xml:space="preserve">PVISION</t>
  </si>
  <si>
    <t xml:space="preserve">EPT #2</t>
  </si>
  <si>
    <t xml:space="preserve">BB Team</t>
  </si>
  <si>
    <t xml:space="preserve">EPT #9</t>
  </si>
  <si>
    <t xml:space="preserve">Vici Gaming</t>
  </si>
  <si>
    <t xml:space="preserve">EPT #16 — deep run from a low seed</t>
  </si>
  <si>
    <t xml:space="preserve">Rune Eaters</t>
  </si>
  <si>
    <t xml:space="preserve">NOT on the EPT leaderboard — unranked entry reaching top 8</t>
  </si>
  <si>
    <t xml:space="preserve">Rune Eaters Esports</t>
  </si>
  <si>
    <t xml:space="preserve">not on EPT leaderboard</t>
  </si>
  <si>
    <t xml:space="preserve">1w</t>
  </si>
  <si>
    <t xml:space="preserve">EPT #3 — biggest underperformance in the field</t>
  </si>
  <si>
    <t xml:space="preserve">PlayTime</t>
  </si>
  <si>
    <t xml:space="preserve">PTime</t>
  </si>
  <si>
    <t xml:space="preserve">Xtreme Gaming</t>
  </si>
  <si>
    <t xml:space="preserve">EPT #4</t>
  </si>
  <si>
    <t xml:space="preserve">Level UP</t>
  </si>
  <si>
    <t xml:space="preserve">REKONIX</t>
  </si>
  <si>
    <t xml:space="preserve">Poor Rangers</t>
  </si>
  <si>
    <t xml:space="preserve">matched to 'Power Rangers' on EPT — VERIFY</t>
  </si>
  <si>
    <t xml:space="preserve">L1 TEAM</t>
  </si>
  <si>
    <t xml:space="preserve">on EPT leaderboard with 0 points</t>
  </si>
  <si>
    <t xml:space="preserve">IC x Insanity</t>
  </si>
  <si>
    <t xml:space="preserve">3,350 club points — the standard playoff curve. Prize money sums to the full $2,000,000.</t>
  </si>
  <si>
    <t xml:space="preserve">9th-24th</t>
  </si>
  <si>
    <t xml:space="preserve">3 · SEED SOURCE — ESL Pro Tour 2025/26 Leaderboard</t>
  </si>
  <si>
    <t xml:space="preserve">The EPT leaderboard is the season-long ESL circuit ranking and the best seed source we have for Dota: it carries numeric points, so strength gaps are measurable rather than ordinal — Tundra on 16,710 versus Execration on 48 is a real distance, not just 24 places. TWO CAVEATS. First, five EWC entrants (Rune Eaters, LGD Gaming, Level UP, L1 TEAM, IC x Insanity) do not appear on the leaderboard at all; they are seeded last here, but that is an assumption, not a measurement — and Rune Eaters promptly finished 5th-8th, so the assumption was wrong for them. Second, the leaderboard is not an EWC qualification ladder: EPT #1 Tundra Esports did not attend at all. WHAT 2026 SHOWED: mixed. The champion PVISION came from EPT #2, and Spirit and Falcons converted top-seven seeds into top-eight finishes. But Aurora at EPT #3 went out in 9th-12th, Xtreme Gaming at #4 in 13th-16th, and Vici Gaming reached 4th from #16. That spread is consistent with a TVI of 55 — favourites go deep more often than not, but conversion is unreliable.</t>
  </si>
  <si>
    <t xml:space="preserve">At EWC?</t>
  </si>
  <si>
    <t xml:space="preserve">Tundra Esports</t>
  </si>
  <si>
    <t xml:space="preserve">no</t>
  </si>
  <si>
    <t xml:space="preserve">ex-HEROIC</t>
  </si>
  <si>
    <t xml:space="preserve">Power Rangers</t>
  </si>
  <si>
    <t xml:space="preserve">Yakult Brothers</t>
  </si>
  <si>
    <t xml:space="preserve">Pasika UA</t>
  </si>
  <si>
    <t xml:space="preserve">Tekken 8 — EWC 2026</t>
  </si>
  <si>
    <t xml:space="preserve">1v1 fighting game. Seeds from the Tekken World Tour 2026 Global Points Standings — method A, 250 ranked players with numeric points.</t>
  </si>
  <si>
    <t xml:space="preserve">Bracket, 32 players</t>
  </si>
  <si>
    <t xml:space="preserve">36 · Low</t>
  </si>
  <si>
    <t xml:space="preserve">TWT 2026 Global Points Standings</t>
  </si>
  <si>
    <t xml:space="preserve">Bands (5-8, 9-12, 13-16, 17-24, 25-32)</t>
  </si>
  <si>
    <t xml:space="preserve">All 32 players. Seed ranks the field by TWT global points; the raw TWT rank sits alongside so the gap between circuit form and event result stays visible.</t>
  </si>
  <si>
    <t xml:space="preserve">TWT rank</t>
  </si>
  <si>
    <t xml:space="preserve">TWT points</t>
  </si>
  <si>
    <t xml:space="preserve">M. Zubair</t>
  </si>
  <si>
    <t xml:space="preserve">major overperformance vs seed (27 → 1)</t>
  </si>
  <si>
    <t xml:space="preserve">LowHigh</t>
  </si>
  <si>
    <t xml:space="preserve">(no club tag)</t>
  </si>
  <si>
    <t xml:space="preserve">Yagami</t>
  </si>
  <si>
    <t xml:space="preserve">major overperformance vs seed (19 → 3)</t>
  </si>
  <si>
    <t xml:space="preserve">Arslan Ash</t>
  </si>
  <si>
    <t xml:space="preserve">JeonDDing</t>
  </si>
  <si>
    <t xml:space="preserve">ULSAN</t>
  </si>
  <si>
    <t xml:space="preserve">Raef</t>
  </si>
  <si>
    <t xml:space="preserve">major overperformance vs seed (31 → 5-8)</t>
  </si>
  <si>
    <t xml:space="preserve">Numan Ch</t>
  </si>
  <si>
    <t xml:space="preserve">major overperformance vs seed (28 → 5-8)</t>
  </si>
  <si>
    <t xml:space="preserve">CBM</t>
  </si>
  <si>
    <t xml:space="preserve">Usama Abbasi</t>
  </si>
  <si>
    <t xml:space="preserve">major overperformance vs seed (25 → 9-12)</t>
  </si>
  <si>
    <t xml:space="preserve">Farzeen</t>
  </si>
  <si>
    <t xml:space="preserve">YAMASA</t>
  </si>
  <si>
    <t xml:space="preserve">NOBI</t>
  </si>
  <si>
    <t xml:space="preserve">KEISUKE</t>
  </si>
  <si>
    <t xml:space="preserve">THE JON</t>
  </si>
  <si>
    <t xml:space="preserve">major overperformance vs seed (30 → 13-16)</t>
  </si>
  <si>
    <t xml:space="preserve">Qasim Meer</t>
  </si>
  <si>
    <t xml:space="preserve">Mangja</t>
  </si>
  <si>
    <t xml:space="preserve">MATSUBA</t>
  </si>
  <si>
    <t xml:space="preserve">17-24</t>
  </si>
  <si>
    <t xml:space="preserve">Hafiz Tanveer</t>
  </si>
  <si>
    <t xml:space="preserve">REST</t>
  </si>
  <si>
    <t xml:space="preserve">Rangchu</t>
  </si>
  <si>
    <t xml:space="preserve">Mulgold</t>
  </si>
  <si>
    <t xml:space="preserve">ATIF</t>
  </si>
  <si>
    <t xml:space="preserve">major underperformance vs seed (1 → 17-24)</t>
  </si>
  <si>
    <t xml:space="preserve">NASR eSports</t>
  </si>
  <si>
    <t xml:space="preserve">Tekken Master</t>
  </si>
  <si>
    <t xml:space="preserve">major overperformance vs seed (32 → 17-24)</t>
  </si>
  <si>
    <t xml:space="preserve">AO</t>
  </si>
  <si>
    <t xml:space="preserve">Breadman</t>
  </si>
  <si>
    <t xml:space="preserve">25-32</t>
  </si>
  <si>
    <t xml:space="preserve">Meo-IL</t>
  </si>
  <si>
    <t xml:space="preserve">major underperformance vs seed (10 → 25-32)</t>
  </si>
  <si>
    <t xml:space="preserve">FOX eSport</t>
  </si>
  <si>
    <t xml:space="preserve">Sin</t>
  </si>
  <si>
    <t xml:space="preserve">iKARi</t>
  </si>
  <si>
    <t xml:space="preserve">qudans</t>
  </si>
  <si>
    <t xml:space="preserve">AK</t>
  </si>
  <si>
    <t xml:space="preserve">KNEE</t>
  </si>
  <si>
    <t xml:space="preserve">major underperformance vs seed (7 → 25-32)</t>
  </si>
  <si>
    <t xml:space="preserve">Synergy FGC</t>
  </si>
  <si>
    <t xml:space="preserve">NinjaKilla212</t>
  </si>
  <si>
    <t xml:space="preserve">3,350 club points — standard playoff curve. Prize money sums to the full $1,000,000.</t>
  </si>
  <si>
    <t xml:space="preserve">3 · SEED SOURCE — TWT 2026 Global Points, and a serious warning</t>
  </si>
  <si>
    <t xml:space="preserve">The Tekken World Tour Global Points Standings rank 250 players with numeric season points, and EWC 2026 sits on the TWT circuit, so on paper this is a strong method A source — comparable in quality to VRS or the EPT leaderboard. IN PRACTICE IT PREDICTED ALMOST NOTHING AT THIS EVENT. Champion M. Zubair entered as TWT #52, seeded 27th of 32. The top of the circuit collapsed: TWT #1 ATIF finished 17th-24th, #3 Rangchu 17th-24th, #6 Mulgold 17th-24th, #7 Knee 25th-32nd, #10 Meo-IL 25th-32nd. Meanwhile Raef at TWT #81 reached 5th-8th and Numan Ch at #61 did the same. TWO READINGS, and the data cannot yet separate them. Either Tekken's TVI of 36 is far too low and this is a genuinely high-variance title, or TWT points measure something different from single-event LAN strength — they accumulate across a season of open tournaments, so they reward attendance volume as much as peak quality. The second reading is supported by the fact that the 2025 EWC champion Ulsan, who is a proven LAN performer, entered at TWT #9 and finished 5th-8th. DO NOT recalibrate the TVI from this single event — but flag Tekken as the title where seed quality most needs a second edition of evidence.</t>
  </si>
  <si>
    <t xml:space="preserve">NOTE on unmatched clubs: Yagami (3rd) and AK (25th-32nd) carry no club tag on Liquipedia. Weibo Gaming shows 0 points in Tekken on the CC standings, which is consistent with AK being their entry, but this is inference — verify before relying on it.</t>
  </si>
  <si>
    <t xml:space="preserve">Street Fighter 6 — EWC 2026</t>
  </si>
  <si>
    <t xml:space="preserve">HYBRID SEED. CPT 2026 points where they exist (13 of 32); a manually assigned Tier for the other 19. Both resolve to a mean and a sigma, so the engine treats them identically.</t>
  </si>
  <si>
    <t xml:space="preserve">58 · Medium</t>
  </si>
  <si>
    <t xml:space="preserve">C + D hybrid</t>
  </si>
  <si>
    <t xml:space="preserve">CPT 2026 points / manual tier</t>
  </si>
  <si>
    <t xml:space="preserve">All 32 players. CPT-ranked players carry a numeric seed. For the 19 unranked, set Tier in the dropdown — base it on RECENT form (last 12-18 months), not career honours; see block 3 for why. Tier is greyed out for CPT-ranked players, whose seed comes from points.</t>
  </si>
  <si>
    <t xml:space="preserve">CPT rank</t>
  </si>
  <si>
    <t xml:space="preserve">CPT points</t>
  </si>
  <si>
    <t xml:space="preserve">Tier (unranked only)</t>
  </si>
  <si>
    <t xml:space="preserve">Seed confidence</t>
  </si>
  <si>
    <t xml:space="preserve">Craime</t>
  </si>
  <si>
    <t xml:space="preserve">A/C ranked</t>
  </si>
  <si>
    <t xml:space="preserve">SBI e-Sports</t>
  </si>
  <si>
    <t xml:space="preserve">Hibiki</t>
  </si>
  <si>
    <t xml:space="preserve">unranked — no CPT points</t>
  </si>
  <si>
    <t xml:space="preserve">Hinao</t>
  </si>
  <si>
    <t xml:space="preserve">Yamaguchi</t>
  </si>
  <si>
    <t xml:space="preserve">Booce_Lee</t>
  </si>
  <si>
    <t xml:space="preserve">MenaRD</t>
  </si>
  <si>
    <t xml:space="preserve">Leshar</t>
  </si>
  <si>
    <t xml:space="preserve">kobayan</t>
  </si>
  <si>
    <t xml:space="preserve">FAV gaming</t>
  </si>
  <si>
    <t xml:space="preserve">moke</t>
  </si>
  <si>
    <t xml:space="preserve">Dual Kevin</t>
  </si>
  <si>
    <t xml:space="preserve">Higuchi</t>
  </si>
  <si>
    <t xml:space="preserve">Micky</t>
  </si>
  <si>
    <t xml:space="preserve">Tokido</t>
  </si>
  <si>
    <t xml:space="preserve">Lexx</t>
  </si>
  <si>
    <t xml:space="preserve">Nephew</t>
  </si>
  <si>
    <t xml:space="preserve">gachikun</t>
  </si>
  <si>
    <t xml:space="preserve">Kilzyou</t>
  </si>
  <si>
    <t xml:space="preserve">Daigo</t>
  </si>
  <si>
    <t xml:space="preserve">Red Dunes Esports</t>
  </si>
  <si>
    <t xml:space="preserve">AngryBird</t>
  </si>
  <si>
    <t xml:space="preserve">Sahara</t>
  </si>
  <si>
    <t xml:space="preserve">RIDDLE</t>
  </si>
  <si>
    <t xml:space="preserve">Shigematsu</t>
  </si>
  <si>
    <t xml:space="preserve">Caba</t>
  </si>
  <si>
    <t xml:space="preserve">Phenom</t>
  </si>
  <si>
    <t xml:space="preserve">Xian</t>
  </si>
  <si>
    <t xml:space="preserve">Itabashi Zangief</t>
  </si>
  <si>
    <t xml:space="preserve">Big Bird</t>
  </si>
  <si>
    <t xml:space="preserve">Punk</t>
  </si>
  <si>
    <t xml:space="preserve">Chris Tatarian</t>
  </si>
  <si>
    <t xml:space="preserve">Fuudo</t>
  </si>
  <si>
    <t xml:space="preserve">Juicyjoe</t>
  </si>
  <si>
    <t xml:space="preserve">Blaz</t>
  </si>
  <si>
    <t xml:space="preserve">Xiaohai</t>
  </si>
  <si>
    <t xml:space="preserve">3 · WHY HYBRID — CPT POINTS PLUS A MANUAL TIER</t>
  </si>
  <si>
    <t xml:space="preserve">The Capcom Pro Tour 2026 Global Leaderboard covers only 13 of the 32 entrants — the rest arrived via auto-qualification, the Last Chance Qualifier, or regional routes that do not feed the global table. Leaving all 19 as one flat bucket is demonstrably wrong: FOUR of the eight top-eight finishers were unranked (Hibiki 2nd, Yamaguchi 4th, MenaRD 5th-8th, Leshar 5th-8th). Hence the Tier column. BASE THE TIER ON RECENT FORM, NOT CAREER HONOURS. This is the important instruction, and 2026 is the evidence. A pedigree-based tier would have promoted the decorated veterans - and every one of them collapsed: Xiaohai 25th-32nd, Itabashi Zangief 25th-32nd, Daigo 17th-24th, Xian 17th-24th, Phenom 17th-24th. Meanwhile the two unranked players who reached the podium places, Hibiki and Yamaguchi, are recent-era competitors rather than crossover legends. MenaRD is the one big name who delivered. Use Capcom Cup 11/12 finishes, EWC 2025 SF6 and Evo 2025/26 as the basis; a name that has not placed deep in the last 12-18 months belongs in Medium or Low regardless of its trophy cabinet. REJECTED ALTERNATIVE: the Capcom Cup auto-qualified list looks predictive (five of seven made top 8) but is CONTAMINATED — winning EWC itself grants a Capcom Cup slot, so it is partly an output of this event. Using it would leak the result into the seed. ALSO NOTE: CPT was weak even where it had coverage — #1 Micky finished 9th-12th, #3 Punk 25th-32nd, #4 Kilzyou 17th-24th, and champion Craime entered at #9. Across Tekken, SF6, Fatal Fury and Fortnite Reload the same pattern holds: season-long circuit points and career reputation both underperform, while recent format-specific form does not.</t>
  </si>
  <si>
    <t xml:space="preserve">Players (auto)</t>
  </si>
  <si>
    <t xml:space="preserve">Tier bands start at position 14 because the 13 CPT-ranked players occupy seeds 1-13. Bands re-tile automatically as you reassign tiers. Defaults are all Medium — change them before simulating.</t>
  </si>
  <si>
    <t xml:space="preserve">Fatal Fury: City of the Wolves — EWC 2026</t>
  </si>
  <si>
    <t xml:space="preserve">Seed method E — no credible pre-event ranking exists. The reasoning is in block 3; this is a deliberate choice, not a gap in the research.</t>
  </si>
  <si>
    <t xml:space="preserve">45 · Medium</t>
  </si>
  <si>
    <t xml:space="preserve">n/a</t>
  </si>
  <si>
    <t xml:space="preserve">All 32 players. Seed column intentionally empty — every player shares the same mean strength under method E.</t>
  </si>
  <si>
    <t xml:space="preserve">DarkAngel</t>
  </si>
  <si>
    <t xml:space="preserve">mi2ha4</t>
  </si>
  <si>
    <t xml:space="preserve">Nemo</t>
  </si>
  <si>
    <t xml:space="preserve">Laggia</t>
  </si>
  <si>
    <t xml:space="preserve">ZJZ</t>
  </si>
  <si>
    <t xml:space="preserve">NaiWang</t>
  </si>
  <si>
    <t xml:space="preserve">Reynald</t>
  </si>
  <si>
    <t xml:space="preserve">K-TOP</t>
  </si>
  <si>
    <t xml:space="preserve">Kindevu</t>
  </si>
  <si>
    <t xml:space="preserve">SCORE</t>
  </si>
  <si>
    <t xml:space="preserve">SHADOW X</t>
  </si>
  <si>
    <t xml:space="preserve">Vxbao</t>
  </si>
  <si>
    <t xml:space="preserve">POONGKO</t>
  </si>
  <si>
    <t xml:space="preserve">GO1</t>
  </si>
  <si>
    <t xml:space="preserve">Fenritti</t>
  </si>
  <si>
    <t xml:space="preserve">RB</t>
  </si>
  <si>
    <t xml:space="preserve">H-DOPE</t>
  </si>
  <si>
    <t xml:space="preserve">abao</t>
  </si>
  <si>
    <t xml:space="preserve">Clan Del Mal</t>
  </si>
  <si>
    <t xml:space="preserve">Neku</t>
  </si>
  <si>
    <t xml:space="preserve">Pida</t>
  </si>
  <si>
    <t xml:space="preserve">mok</t>
  </si>
  <si>
    <t xml:space="preserve">S Factor</t>
  </si>
  <si>
    <t xml:space="preserve">Gummy</t>
  </si>
  <si>
    <t xml:space="preserve">Senaru</t>
  </si>
  <si>
    <t xml:space="preserve">XiaoCai</t>
  </si>
  <si>
    <t xml:space="preserve">Dany "El Maza"</t>
  </si>
  <si>
    <t xml:space="preserve">Lancer</t>
  </si>
  <si>
    <t xml:space="preserve">Basher</t>
  </si>
  <si>
    <t xml:space="preserve">KojiKOG</t>
  </si>
  <si>
    <t xml:space="preserve">AbuOmar</t>
  </si>
  <si>
    <t xml:space="preserve">TheGio</t>
  </si>
  <si>
    <t xml:space="preserve">NYChrisG</t>
  </si>
  <si>
    <t xml:space="preserve">3 · WHY METHOD E</t>
  </si>
  <si>
    <t xml:space="preserve">Fatal Fury: City of the Wolves launched in 2025 and EWC 2026 is only its second appearance. There is no season-long ranking equivalent to the Tekken World Tour or Capcom Pro Tour tables: the SNK World Championship Finals is where this event QUALIFIES PLAYERS TO, not a ladder they arrive with. Liquipedia carries no global points standing for the title. So there is genuinely nothing to seed from — declaring that is more useful than constructing a proxy from reputation. The temptation would be to seed on FGC pedigree, since several entrants are decorated in other games — Xiaohai, GO1, Nemo, Poongko all have major titles elsewhere. The 2026 result argues against exactly that: GO1 finished 13th-16th, Xiaohai 17th-24th, Poongko 13th-16th, while the winner DarkAngel and runner-up mi2ha4 are CotW specialists rather than crossover names. This mirrors the Fortnite Reload lesson — in a young title, general reputation is a poor guide, and format-specific form is what matters. WHEN TO REVISIT: once SNK publishes a season-long points table, or after a second or third edition provides seed-versus-outcome data of its own, this should be upgraded to method C or D. Until then every player shares one mean and outcomes come entirely from the title sigma.</t>
  </si>
  <si>
    <t xml:space="preserve">Teamfight Tactics — EWC 2026</t>
  </si>
  <si>
    <t xml:space="preserve">Squads format, 4 players per club. Method D applied: cohorts are assigned by rule — High for Chinese and South Korean clubs, Medium for all others. The rule and its evidence are in block 3.</t>
  </si>
  <si>
    <t xml:space="preserve">GSL groups → single-elim</t>
  </si>
  <si>
    <t xml:space="preserve">65 · High</t>
  </si>
  <si>
    <t xml:space="preserve">D — cohort by region</t>
  </si>
  <si>
    <t xml:space="preserve">Rule: CN + KR = High, else Medium</t>
  </si>
  <si>
    <t xml:space="preserve">All 16 teams. Cohort is applied automatically from Region by the rule above — change a Region and set the Cohort to match, or override the Cohort directly. Region is inferred from club origin; the event page does not record which qualifier each club entered through.</t>
  </si>
  <si>
    <t xml:space="preserve">CC eligible?</t>
  </si>
  <si>
    <t xml:space="preserve">Eligible pts</t>
  </si>
  <si>
    <t xml:space="preserve">CN</t>
  </si>
  <si>
    <t xml:space="preserve">TW</t>
  </si>
  <si>
    <t xml:space="preserve">KR</t>
  </si>
  <si>
    <t xml:space="preserve">VOID</t>
  </si>
  <si>
    <t xml:space="preserve">VOIDED — squad signed past the Team Deadline</t>
  </si>
  <si>
    <t xml:space="preserve">EMEA</t>
  </si>
  <si>
    <t xml:space="preserve">invited, not via qualifier</t>
  </si>
  <si>
    <t xml:space="preserve">IN</t>
  </si>
  <si>
    <t xml:space="preserve">JP</t>
  </si>
  <si>
    <t xml:space="preserve">3,150 ELIGIBLE club points: the curve awards 3,350, but Nongshim RedForce's 200 was voided for signing past the Team Deadline. Prize money sums to the full $500,000.</t>
  </si>
  <si>
    <t xml:space="preserve">9th-16th</t>
  </si>
  <si>
    <t xml:space="preserve">3 · SEED — METHOD E TODAY, WITH A REGIONAL CASE FOR UPGRADING</t>
  </si>
  <si>
    <t xml:space="preserve">THE RULE: High cohort = clubs from China or South Korea. Medium = everyone else. Applied programmatically from the Region column, so it is reproducible rather than hand-picked club by club. WHY: there is no pre-event ranking for TFT — teams arrive through separate regional qualifiers that produce no cross-region ordering — but region itself carried a clear signal in 2026. The CN/KR cohort converted five of seven entries into top-eight finishes (71%); everyone else converted three of nine (33%), against a 50% baseline. The top three were all Chinese: Team Vision, Aurora Gaming and AG.AL International. TWO JUDGEMENT CALLS WORTH KNOWING. Flash Wolves (Taiwan) sits in Medium because the rule is CN and KR specifically, yet they finished 4th — the single biggest cost of drawing the line that way. Including Taiwan would raise the High cohort to 75% conversion, but that would be fitting the rule to one result rather than to a stated principle. ZETA DIVISION (Japan) likewise stays Medium and finished 9th-12th, which supports the exclusion. STILL ONE EDITION OF EVIDENCE. TFT carries a high TVI of 65, so the cohort structure and the volatility term are pulling against each other by design: even High-cohort clubs will scatter widely in simulation. Recompute the regional block below after each new edition — a second consistent year would make this rule solid rather than provisional.</t>
  </si>
  <si>
    <t xml:space="preserve">Entries</t>
  </si>
  <si>
    <t xml:space="preserve">Top-8 finishes</t>
  </si>
  <si>
    <t xml:space="preserve">Top-8 rate</t>
  </si>
  <si>
    <t xml:space="preserve">Best result</t>
  </si>
  <si>
    <t xml:space="preserve">Random baseline for top-8 rate is 50% (8 of 16 teams). Recompute after each edition to test whether the CN/KR rule holds.</t>
  </si>
  <si>
    <t xml:space="preserve">Clubs (auto)</t>
  </si>
  <si>
    <t xml:space="preserve">Rainbow Six Siege — EWC 2026</t>
  </si>
  <si>
    <t xml:space="preserve">Seed method A — Six Invitational 2027 Global Points Standings. EWC awards no SI points and the later season events were unplayed, so that table is a clean pre-event snapshot.</t>
  </si>
  <si>
    <t xml:space="preserve">Groups → playoffs</t>
  </si>
  <si>
    <t xml:space="preserve">22 teams</t>
  </si>
  <si>
    <t xml:space="preserve">30 · Low</t>
  </si>
  <si>
    <t xml:space="preserve">SI 2027 Global Standings</t>
  </si>
  <si>
    <t xml:space="preserve">Bands (5-8, 9-12, 13-16, then pairs)</t>
  </si>
  <si>
    <t xml:space="preserve">All 22 teams, ranked by SI points. Two teams (Al-Ula Club, MIBR.LOS) do not appear on the standings and are seeded last — an assumption, flagged in Notes.</t>
  </si>
  <si>
    <t xml:space="preserve">SI rank</t>
  </si>
  <si>
    <t xml:space="preserve">SI points</t>
  </si>
  <si>
    <t xml:space="preserve">South America</t>
  </si>
  <si>
    <t xml:space="preserve">major overperformance (seed 12 → 2)</t>
  </si>
  <si>
    <t xml:space="preserve">DarkZero</t>
  </si>
  <si>
    <t xml:space="preserve">North America</t>
  </si>
  <si>
    <t xml:space="preserve">DarkZero Esports</t>
  </si>
  <si>
    <t xml:space="preserve">Europe MENA</t>
  </si>
  <si>
    <t xml:space="preserve">VOIDED — roster changes past the Deadline</t>
  </si>
  <si>
    <t xml:space="preserve">Asia Pacific</t>
  </si>
  <si>
    <t xml:space="preserve">major overperformance (seed 15 → 5-8)</t>
  </si>
  <si>
    <t xml:space="preserve">major overperformance (seed 20 → 5-8)</t>
  </si>
  <si>
    <t xml:space="preserve">CAG by VARREL</t>
  </si>
  <si>
    <t xml:space="preserve">ENTERPRISE Esports</t>
  </si>
  <si>
    <t xml:space="preserve">major underperformance (seed 3 → 13-16)</t>
  </si>
  <si>
    <t xml:space="preserve">17-18</t>
  </si>
  <si>
    <t xml:space="preserve">major underperformance (seed 4 → 17-18)</t>
  </si>
  <si>
    <t xml:space="preserve">not on SI standings — seeded last by assumption</t>
  </si>
  <si>
    <t xml:space="preserve">Chiefs Esports Club</t>
  </si>
  <si>
    <t xml:space="preserve">KINGZERO eSports</t>
  </si>
  <si>
    <t xml:space="preserve">3,050 ELIGIBLE club points: the curve awards 3,350, but Geekay Esports' 300 was voided for roster changes past the Deadline. Prize money sums to the full $2,000,000.</t>
  </si>
  <si>
    <t xml:space="preserve">9th-22nd</t>
  </si>
  <si>
    <t xml:space="preserve">3 · SEED SOURCE — SI 2027 Global Standings</t>
  </si>
  <si>
    <t xml:space="preserve">Why this source is clean. Ubisoft's Six Invitational points are the ecosystem's own ranking and they decide SI qualification, so teams take them seriously. Critically, EWC itself awards NO SI points, and the two later season events on the table (Regional Leagues 2, November Major) were unplayed at the time of writing — so the standings are a genuine pre-event snapshot built from the Regional Kickoff, the May Major and Regional Leagues 1. No result leakage. ONE DISCREPANCY WORTH KNOWING: Liquipedia's own rank column does not order strictly by points — FaZe are listed 1st on 1,610 while DarkZero sit 2nd on 1,890. The seeds here are built from POINTS descending, since points are the measurable quantity; the published rank is kept alongside so the difference is visible. WHAT 2026 SHOWED: middling. Champion FaZe entered as the 2nd-highest-pointed team and DarkZero, top on points, took 3rd — the very top converted well. Below that it fell apart: ENTERPRISE (seed 3) finished 13th-16th, Shopify Rebellion (seed 4) 17th-18th, and Falcons (seed 6) 9th-12th, while runner-up FURIA came from seed 12, Geekay reached 4th from seed 18, and Team Secret made the top eight from seed 20 on just 80 points. This is now a recurring shape across titles: the elite converts, the middle of the seed list predicts very little. Worth holding in mind when the TVI is eventually recalibrated — R6 carries a low 30, which fits the top of the field but not the rest of it.</t>
  </si>
  <si>
    <t xml:space="preserve">Warzone — EWC 2026</t>
  </si>
  <si>
    <t xml:space="preserve">Trios battle royale, listed on Liquipedia as 'Warzone Resurgence Series 2026 Championship'. Seed method B — qualification route and timing, not a ranking.</t>
  </si>
  <si>
    <t xml:space="preserve">Groups → Survival → Finals</t>
  </si>
  <si>
    <t xml:space="preserve">32 trios</t>
  </si>
  <si>
    <t xml:space="preserve">75 · High</t>
  </si>
  <si>
    <t xml:space="preserve">B — qualification route</t>
  </si>
  <si>
    <t xml:space="preserve">Invite → LANs → regional opens</t>
  </si>
  <si>
    <t xml:space="preserve">All 32 trios, ordered by the qualification-route seed. Six seeds are marked INFERRED — the qualifier result and the EWC field disagree on the org name, so the slot is matched by field position rather than a verified link.</t>
  </si>
  <si>
    <t xml:space="preserve">Route</t>
  </si>
  <si>
    <t xml:space="preserve">Qual. place</t>
  </si>
  <si>
    <t xml:space="preserve">Seed basis</t>
  </si>
  <si>
    <t xml:space="preserve">Invited</t>
  </si>
  <si>
    <t xml:space="preserve">defending champion, invited</t>
  </si>
  <si>
    <t xml:space="preserve">Birmingham</t>
  </si>
  <si>
    <t xml:space="preserve">won DH Birmingham</t>
  </si>
  <si>
    <t xml:space="preserve">INFERRED: Birmingham 3rd was Los Corillos; Leviatán occupies that slot in the EWC field</t>
  </si>
  <si>
    <t xml:space="preserve">also won MENA online; earliest route counts</t>
  </si>
  <si>
    <t xml:space="preserve">verified route</t>
  </si>
  <si>
    <t xml:space="preserve">Atlanta</t>
  </si>
  <si>
    <t xml:space="preserve">NA online</t>
  </si>
  <si>
    <t xml:space="preserve">AG.AL</t>
  </si>
  <si>
    <t xml:space="preserve">PBJ</t>
  </si>
  <si>
    <t xml:space="preserve">INFERRED: NA 6th qualifier had no org tag; PBJ fills that slot in field order</t>
  </si>
  <si>
    <t xml:space="preserve">LATAM N</t>
  </si>
  <si>
    <t xml:space="preserve">INFERRED: LATAM N 2nd was Phoenix Arena; FaZe occupies that slot in the EWC field</t>
  </si>
  <si>
    <t xml:space="preserve">CT Gaming</t>
  </si>
  <si>
    <t xml:space="preserve">First Squad</t>
  </si>
  <si>
    <t xml:space="preserve">LATAM S</t>
  </si>
  <si>
    <t xml:space="preserve">New Icons</t>
  </si>
  <si>
    <t xml:space="preserve">EU online</t>
  </si>
  <si>
    <t xml:space="preserve">Ekletyc</t>
  </si>
  <si>
    <t xml:space="preserve">Ninjas In Pyjamas eStar</t>
  </si>
  <si>
    <t xml:space="preserve">listed as Ninjas In Pyjamas in the qualifier</t>
  </si>
  <si>
    <t xml:space="preserve">H1</t>
  </si>
  <si>
    <t xml:space="preserve">INFERRED: EU 4th was Insight Gaming; H1 occupies that slot in the EWC field</t>
  </si>
  <si>
    <t xml:space="preserve">KGV</t>
  </si>
  <si>
    <t xml:space="preserve">INFERRED: EU 6th qualifier had no org tag</t>
  </si>
  <si>
    <t xml:space="preserve">APAC</t>
  </si>
  <si>
    <t xml:space="preserve">listed as Stallions in the EWC field</t>
  </si>
  <si>
    <t xml:space="preserve">INFERRED: MENA slot passed down after Ravens qualified via Birmingham</t>
  </si>
  <si>
    <t xml:space="preserve">3,050 club points — battle-royale curve. Prize money sums to the full $1,000,000.</t>
  </si>
  <si>
    <t xml:space="preserve">3 · SEED — QUALIFICATION ROUTE AND TIMING (METHOD B)</t>
  </si>
  <si>
    <t xml:space="preserve">There is no Warzone ranking to seed from, but qualification timing carries information: the strongest rosters tend to qualify first, at the two LAN events, while later online opens fill the remaining slots. The seed order is therefore: invited champion, then DH Birmingham, then DH Atlanta, then the regional online opens in the priority order supplied — North America, LATAM North, LATAM South, Europe, APAC, MENA. Within each route, teams are ordered by their finishing position in that qualifier. SIX SEEDS ARE INFERRED, marked amber. In those cases the qualifier winner and the EWC entrant carry different org names — Birmingham's 3rd place was Los Corillos while Leviatán occupies that slot in the field, the NA 6th qualifier carried no org tag at all, and so on. The slot is matched by position in the field rather than a verified link, so treat those six as assumptions. NOTE ON RAVENS ESPORTS: they qualified twice, winning the MENA online open and placing 4th at Birmingham. The earlier LAN route is used, which is the whole logic of this method. WHAT 2026 SHOWED: the route seed was weak, as a TVI of 75 would predict. Champion G2 came from Atlanta 5th (seed 7) and runner-up T1 from Atlanta 8th (seed 10), so the Atlanta cohort did convert — but Birmingham winners Team Falcons finished 16th, and the invited defending champions Twisted Minds took 4th. Meanwhile Gentle Mates and Ekletyc reached 5th and 6th from the European online open, seeds 22 and 23. For a high-volatility battle royale this is roughly what the model should expect: a real but weak signal, better than method E and far short of a ranking.</t>
  </si>
  <si>
    <t xml:space="preserve">Teams</t>
  </si>
  <si>
    <t xml:space="preserve">Avg finish</t>
  </si>
  <si>
    <t xml:space="preserve">Use this block to test whether route order predicts anything across future editions — if the LAN routes keep outperforming the late online opens, method B is justified for this title.</t>
  </si>
  <si>
    <t xml:space="preserve">VALORANT — EWC 2026</t>
  </si>
  <si>
    <t xml:space="preserve">Seeded from Riot's own VALORANT Global Power Rankings — the 'End of Masters London' snapshot, dated 21 June 2026, eleven days before this event. A clean pre-event ranking with numeric power scores.</t>
  </si>
  <si>
    <t xml:space="preserve">50 · Medium</t>
  </si>
  <si>
    <t xml:space="preserve">A — publisher power ranking</t>
  </si>
  <si>
    <t xml:space="preserve">Riot GPR, End of Masters London (21 Jun 26)</t>
  </si>
  <si>
    <t xml:space="preserve">All 16 teams, seeded by GPR power score. The score is kept alongside the rank because it is a genuine strength measure — the gap from NRG on 1,472 to AG.AL on 1,181 is information a bare ranking would lose.</t>
  </si>
  <si>
    <t xml:space="preserve">VCT league</t>
  </si>
  <si>
    <t xml:space="preserve">GPR rank</t>
  </si>
  <si>
    <t xml:space="preserve">GPR score</t>
  </si>
  <si>
    <t xml:space="preserve">Paper Rex</t>
  </si>
  <si>
    <t xml:space="preserve">VCT Pacific</t>
  </si>
  <si>
    <t xml:space="preserve">underperformed seed (1 → 13-16)</t>
  </si>
  <si>
    <t xml:space="preserve">VCT Americas</t>
  </si>
  <si>
    <t xml:space="preserve">VCT EMEA</t>
  </si>
  <si>
    <t xml:space="preserve">VCT CN</t>
  </si>
  <si>
    <t xml:space="preserve">overperformed seed (7 → 1)</t>
  </si>
  <si>
    <t xml:space="preserve">Global Esports</t>
  </si>
  <si>
    <t xml:space="preserve">XLG Esports</t>
  </si>
  <si>
    <t xml:space="preserve">overperformed seed (12 → 5-8)</t>
  </si>
  <si>
    <t xml:space="preserve">BBL Esports</t>
  </si>
  <si>
    <t xml:space="preserve">overperformed seed (13 → 4)</t>
  </si>
  <si>
    <t xml:space="preserve">overperformed seed (14 → 5-8)</t>
  </si>
  <si>
    <t xml:space="preserve">overperformed seed (15 → 9-12)</t>
  </si>
  <si>
    <t xml:space="preserve">overperformed seed (16 → 9-12)</t>
  </si>
  <si>
    <t xml:space="preserve">3,350 club points — standard playoff curve. Prize money sums to the full $2,000,000.</t>
  </si>
  <si>
    <t xml:space="preserve">3 · SEED SOURCE — RIOT GPR, AND ITS TIMING PROBLEM</t>
  </si>
  <si>
    <t xml:space="preserve">This is the cleanest seed source in the workbook. Riot maintains the GPR themselves: a model with numeric power scores covering 48 teams across all four VCT leagues, so cross-region comparison is built into the number rather than assumed. That is exactly what the Rainbow Six and Dota sources lack. AND THE TIMING IS RIGHT. Riot publishes event-pinned snapshots, so the 'End of Masters London' table dated 21 June 2026 sits eleven days before this event began on 2 July. No result leakage, no stale season. Method A, not a proxy. WHAT 2026 SHOWED: the seed underperformed, and unusually it failed at the TOP rather than the middle. GPR #1 Paper Rex, on 1,605 points and 200 clear of second, finished 13th-16th — the largest single miss in the workbook. Global Esports (seed 8) also went out in 13th-16th. Meanwhile champion 100 Thieves came from seed 7, BBL Esports reached 4th from seed 13, Gentle Mates made the top eight from seed 14, and Karmine Corp entered last on 1,126 points and still finished 9th-12th. That inverts the pattern seen in chess, Trackmania, Tekken and R6, where the elite converted and the middle scattered. Here the elite was the problem. Two readings, unresolvable from one event: either Valorant genuinely punishes favourites more than the TVI of 50 allows, or a strong GPR score built on VCT league form does not transfer to a short offline bracket. WORTH NOTING: GPR #2 Leviatán, #4 T1, #6 Kiwoom DRX and #9 Fnatic did not attend. This was not the world's strongest sixteen, which caps how much any seed could have explained.</t>
  </si>
  <si>
    <t xml:space="preserve">Score</t>
  </si>
  <si>
    <t xml:space="preserve">League</t>
  </si>
  <si>
    <t xml:space="preserve">Leviatán Esports</t>
  </si>
  <si>
    <t xml:space="preserve">NONGSHIM REDFORCE</t>
  </si>
  <si>
    <t xml:space="preserve">Kiwoom DRX</t>
  </si>
  <si>
    <t xml:space="preserve">FNATIC</t>
  </si>
  <si>
    <t xml:space="preserve">EDWARD Gaming</t>
  </si>
  <si>
    <t xml:space="preserve">GLOBAL ESPORTS</t>
  </si>
  <si>
    <t xml:space="preserve">Eternal Fire</t>
  </si>
  <si>
    <t xml:space="preserve">Xi Lai Gaming</t>
  </si>
  <si>
    <t xml:space="preserve">ENVY</t>
  </si>
  <si>
    <t xml:space="preserve">Gen.G</t>
  </si>
  <si>
    <t xml:space="preserve">GIANTX</t>
  </si>
  <si>
    <t xml:space="preserve">MLBB Mid Season Cup — EWC 2026</t>
  </si>
  <si>
    <t xml:space="preserve">The men's MLBB event at EWC. Cohort seeding applied by rule from the qualifying league: MPL Indonesia and MPL Philippines = High, other SEA leagues = Medium, everything else = Low.</t>
  </si>
  <si>
    <t xml:space="preserve">Wildcard → double-elim groups → single-elim</t>
  </si>
  <si>
    <t xml:space="preserve">25 teams</t>
  </si>
  <si>
    <t xml:space="preserve">60 · Medium</t>
  </si>
  <si>
    <t xml:space="preserve">D — cohort by league</t>
  </si>
  <si>
    <t xml:space="preserve">Qualifying league (MPL ID/PH = High)</t>
  </si>
  <si>
    <t xml:space="preserve">All 25 teams. League of origin comes from the official qualification table. Where a club fields two teams, the canonical column maps the entry to the parent club — only the better finisher earns club points, so reconciliation takes a MAX over the canonical name.</t>
  </si>
  <si>
    <t xml:space="preserve">Entry</t>
  </si>
  <si>
    <t xml:space="preserve">Qualifying league</t>
  </si>
  <si>
    <t xml:space="preserve">MCC (EECA)</t>
  </si>
  <si>
    <t xml:space="preserve">first EECA club to win an MLBB major</t>
  </si>
  <si>
    <t xml:space="preserve">MSL Myanmar</t>
  </si>
  <si>
    <t xml:space="preserve">MPL Indonesia</t>
  </si>
  <si>
    <t xml:space="preserve">Team Falcons PH</t>
  </si>
  <si>
    <t xml:space="preserve">MPL Philippines</t>
  </si>
  <si>
    <t xml:space="preserve">second Team Falcons entry — only the better finisher scores</t>
  </si>
  <si>
    <t xml:space="preserve">Team Vamos</t>
  </si>
  <si>
    <t xml:space="preserve">MPL Malaysia</t>
  </si>
  <si>
    <t xml:space="preserve">MTC (Turkey)</t>
  </si>
  <si>
    <t xml:space="preserve">competes as Bigetron by Vitality</t>
  </si>
  <si>
    <t xml:space="preserve">PRO Esports</t>
  </si>
  <si>
    <t xml:space="preserve">MPL Cambodia</t>
  </si>
  <si>
    <t xml:space="preserve">Guangzhou Gaming</t>
  </si>
  <si>
    <t xml:space="preserve">MCT East Asia</t>
  </si>
  <si>
    <t xml:space="preserve">MPL MENA</t>
  </si>
  <si>
    <t xml:space="preserve">Selangor Red Giants</t>
  </si>
  <si>
    <t xml:space="preserve">MCT Americas</t>
  </si>
  <si>
    <t xml:space="preserve">True Rippers</t>
  </si>
  <si>
    <t xml:space="preserve">ML Masters Series</t>
  </si>
  <si>
    <t xml:space="preserve">IGNITE Gaming</t>
  </si>
  <si>
    <t xml:space="preserve">MPL Singapore</t>
  </si>
  <si>
    <t xml:space="preserve">Team Liquid PH</t>
  </si>
  <si>
    <t xml:space="preserve">second Team Liquid entry — only the better finisher scores</t>
  </si>
  <si>
    <t xml:space="preserve">18-19</t>
  </si>
  <si>
    <t xml:space="preserve">MSL Thailand</t>
  </si>
  <si>
    <t xml:space="preserve">20-21</t>
  </si>
  <si>
    <t xml:space="preserve">Niightmare Esports</t>
  </si>
  <si>
    <t xml:space="preserve">MCCM</t>
  </si>
  <si>
    <t xml:space="preserve">Sunset Ravens</t>
  </si>
  <si>
    <t xml:space="preserve">22-23</t>
  </si>
  <si>
    <t xml:space="preserve">VSG</t>
  </si>
  <si>
    <t xml:space="preserve">MEC</t>
  </si>
  <si>
    <t xml:space="preserve">24-25</t>
  </si>
  <si>
    <t xml:space="preserve">Verso Time</t>
  </si>
  <si>
    <t xml:space="preserve">3,350 club points — standard playoff curve. Prize money sums to $3,000,000 of the $3,025,000 pool; the balance is an MVP-style award. Note this is the richest single title in the workbook.</t>
  </si>
  <si>
    <t xml:space="preserve">9th-25th</t>
  </si>
  <si>
    <t xml:space="preserve">3 · COHORT RULE AND HOW IT PERFORMED</t>
  </si>
  <si>
    <t xml:space="preserve">THE RULE: High = MPL Indonesia and MPL Philippines. Medium = the other Southeast Asian leagues (Malaysia, Singapore, Cambodia, Myanmar, Thailand). Low = everything else — EECA, Turkey, MENA, Americas, East Asia, India. Applied from the qualifying league recorded on the official qualification table, so it derives from sourced data rather than inference about club origin. IT SEPARATED WELL. High converted three of four entries into top-eight finishes (75%), Medium three of six (50%), Low two of fifteen (13%), against a baseline of 32%. That is the cleanest cohort separation in the workbook and supports treating MPL ID and PH as the strongest leagues. BUT THE WINNER CAME FROM LOW. Team Spirit qualified through MCC, the EECA circuit, and won the whole thing — the first EECA club to take an MLBB major. Yangon Galacticos took second from Myanmar, a Medium league. So the rule ranked the FIELD well while missing the PODIUM entirely: neither finalist came from a High cohort league, and the best High finish was ONIC in 3rd. This is the same tension seen elsewhere — a seed that predicts who makes the top eight is not automatically a seed that predicts who wins. With a TVI of 60 the model should already expect upsets of this size; worth rechecking after the next edition rather than adjusting either input now.</t>
  </si>
  <si>
    <t xml:space="preserve">Baseline top-8 rate is 8/25 = 32%. Bands re-tile automatically if you reassign a cohort.</t>
  </si>
  <si>
    <t xml:space="preserve">Apex Legends — EWC 2026</t>
  </si>
  <si>
    <t xml:space="preserve">Run as the ALGS 2026 Split 1 Playoffs. Cohorts applied by rule from Split 1 Pro League regional finishing position.</t>
  </si>
  <si>
    <t xml:space="preserve">Groups → Survivor → Finals</t>
  </si>
  <si>
    <t xml:space="preserve">40 trios</t>
  </si>
  <si>
    <t xml:space="preserve">82 · High</t>
  </si>
  <si>
    <t xml:space="preserve">D — cohort by Pro League</t>
  </si>
  <si>
    <t xml:space="preserve">ALGS 2026 Split 1 Pro League</t>
  </si>
  <si>
    <t xml:space="preserve">Exact 1-40</t>
  </si>
  <si>
    <t xml:space="preserve">All 40 trios. Region and Pro League placement come from the four Split 1 regional standings pages, so the cohort derives from sourced data. ZEDI ESPORTS' 300 points are voided — squad signed past the Team Deadline.</t>
  </si>
  <si>
    <t xml:space="preserve">PL place</t>
  </si>
  <si>
    <t xml:space="preserve">UNLIMIT</t>
  </si>
  <si>
    <t xml:space="preserve">APAC North</t>
  </si>
  <si>
    <t xml:space="preserve">All Gamers Global</t>
  </si>
  <si>
    <t xml:space="preserve">APAC South</t>
  </si>
  <si>
    <t xml:space="preserve">Elite Esports Europe</t>
  </si>
  <si>
    <t xml:space="preserve">ZiPLine Mafia</t>
  </si>
  <si>
    <t xml:space="preserve">DINOS</t>
  </si>
  <si>
    <t xml:space="preserve">KINOTROPE Club</t>
  </si>
  <si>
    <t xml:space="preserve">VK Gaming</t>
  </si>
  <si>
    <t xml:space="preserve">INVITED as defending champion, not via the Pro League qualification slots</t>
  </si>
  <si>
    <t xml:space="preserve">Pork Xiaolongbao Xpert</t>
  </si>
  <si>
    <t xml:space="preserve">TIE</t>
  </si>
  <si>
    <t xml:space="preserve">White Grim Reaper NEO</t>
  </si>
  <si>
    <t xml:space="preserve">Flat</t>
  </si>
  <si>
    <t xml:space="preserve">Kirisame Havoc</t>
  </si>
  <si>
    <t xml:space="preserve">35</t>
  </si>
  <si>
    <t xml:space="preserve">listed as HAVOC in the Pro League standings</t>
  </si>
  <si>
    <t xml:space="preserve">36</t>
  </si>
  <si>
    <t xml:space="preserve">Dogred</t>
  </si>
  <si>
    <t xml:space="preserve">37</t>
  </si>
  <si>
    <t xml:space="preserve">TLN Pirates</t>
  </si>
  <si>
    <t xml:space="preserve">38</t>
  </si>
  <si>
    <t xml:space="preserve">INFERRED: occupies the Make Europe Great Again slot (EMEA 7th)</t>
  </si>
  <si>
    <t xml:space="preserve">Dory</t>
  </si>
  <si>
    <t xml:space="preserve">39</t>
  </si>
  <si>
    <t xml:space="preserve">TriniTY</t>
  </si>
  <si>
    <t xml:space="preserve">40</t>
  </si>
  <si>
    <t xml:space="preserve">TOTAL ELIGIBLE POINTS</t>
  </si>
  <si>
    <t xml:space="preserve">2,750 ELIGIBLE club points: the BR curve awards 3,050, but ZEDI ESPORTS' 300 for 4th was voided. Prize money sums to the full $2,000,000.</t>
  </si>
  <si>
    <t xml:space="preserve">THE RULE, as specified: High = the top 4 qualifiers from APAC North, top 5 from EMEA, top 3 from APAC South and top 5 from Americas, by Split 1 Pro League finishing position. Low = the bottom 2 qualifiers from each region. Medium = everyone else, plus the invited team. Applied programmatically from the four regional standings pages, so it is reproducible rather than hand-assigned. IT SEPARATED WEAKLY. High converted five of seventeen entries into top-eight finishes (29%), Medium three of fifteen (20%), Low none of eight (0%), against a 20% baseline. The Low cohort behaved exactly as intended — no bottom-2 regional qualifier reached the top eight. But High barely beat chance, and Medium sat exactly on it. THE TOP OF THE PRO LEAGUE DID NOT TRANSFER AT ALL. Regional winners finished: Ninjas in Pyjamas (Americas 1st) 15th, Aurora Gaming (EMEA 1st) 28th, ZETA DIVISION (APAC-N 1st) 5th, Wolves Esports (APAC-S 1st) 7th. Champions UNLIMIT came from APAC North 3rd, runner-up Team Vision from Americas 3rd, and third-placed Sentinels from Americas 7th — a Medium seed. Of the 40-team field, only two of the eight regional top-two finishers made the EWC top eight. Pro League form predicts who is bad here far better than it predicts who is good. TWO INFERRED MAPPINGS, flagged amber in the rows: ZEDI ESPORTS is matched to the HUSS slot (Americas 11th) — consistent with their points being voided for signing a squad past the deadline — and TLN Pirates to the Make Europe Great Again slot (EMEA 7th). Neither link is stated on Liquipedia.</t>
  </si>
  <si>
    <t xml:space="preserve">Baseline top-8 rate is 8/40 = 20%. Note top-8 counts use earned points, so ZEDI's voided 4th still counts as a top-8 finish here — the void affects club points, not sporting placement.</t>
  </si>
  <si>
    <t xml:space="preserve">Honor of Kings — EWC 2026</t>
  </si>
  <si>
    <t xml:space="preserve">Run as the Honor of Kings World Cup 2026. Cohorts assigned by rule from the qualifying league: Chinese teams and the top 2 from Malaysia = High, rest of SEA = Medium, everyone else = Low.</t>
  </si>
  <si>
    <t xml:space="preserve">Play-In → groups → playoffs</t>
  </si>
  <si>
    <t xml:space="preserve">20 teams</t>
  </si>
  <si>
    <t xml:space="preserve">32 · Low</t>
  </si>
  <si>
    <t xml:space="preserve">Qualifying event (CN + MKL top 2 = High)</t>
  </si>
  <si>
    <t xml:space="preserve">All 20 teams. Qualifying event and region come from the official qualification table, so the cohort derives from sourced data. Several clubs compete under partner-brand names; the canonical column resolves them.</t>
  </si>
  <si>
    <t xml:space="preserve">Qualifying event</t>
  </si>
  <si>
    <t xml:space="preserve">KPL Spring</t>
  </si>
  <si>
    <t xml:space="preserve">AG Super Play</t>
  </si>
  <si>
    <t xml:space="preserve">Defending Champions</t>
  </si>
  <si>
    <t xml:space="preserve">competes as AG Super Play</t>
  </si>
  <si>
    <t xml:space="preserve">MKL Spring (2nd)</t>
  </si>
  <si>
    <t xml:space="preserve">Malaysia</t>
  </si>
  <si>
    <t xml:space="preserve">MKL Spring (3rd)</t>
  </si>
  <si>
    <t xml:space="preserve">MKL Spring (1st)</t>
  </si>
  <si>
    <t xml:space="preserve">Bigetron by Vitality</t>
  </si>
  <si>
    <t xml:space="preserve">IKL Spring</t>
  </si>
  <si>
    <t xml:space="preserve">Indonesia</t>
  </si>
  <si>
    <t xml:space="preserve">KML Spring</t>
  </si>
  <si>
    <t xml:space="preserve">DOMINATOR by NEMESIS</t>
  </si>
  <si>
    <t xml:space="preserve">competes as DOMINATOR by NEMESIS</t>
  </si>
  <si>
    <t xml:space="preserve">Blacklist International</t>
  </si>
  <si>
    <t xml:space="preserve">PKL Spring</t>
  </si>
  <si>
    <t xml:space="preserve">Philippines</t>
  </si>
  <si>
    <t xml:space="preserve">Influence Rage</t>
  </si>
  <si>
    <t xml:space="preserve">CHOKBR Fall</t>
  </si>
  <si>
    <t xml:space="preserve">Brazil</t>
  </si>
  <si>
    <t xml:space="preserve">competes as Influence Rage</t>
  </si>
  <si>
    <t xml:space="preserve">RPL Summer</t>
  </si>
  <si>
    <t xml:space="preserve">Thailand</t>
  </si>
  <si>
    <t xml:space="preserve">MIBR LOS</t>
  </si>
  <si>
    <t xml:space="preserve">competes as MIBR LOS</t>
  </si>
  <si>
    <t xml:space="preserve">Revenant Xspark</t>
  </si>
  <si>
    <t xml:space="preserve">India Qualifier</t>
  </si>
  <si>
    <t xml:space="preserve">competes as Revenant Xspark</t>
  </si>
  <si>
    <t xml:space="preserve">GCS Spring</t>
  </si>
  <si>
    <t xml:space="preserve">Taiwan</t>
  </si>
  <si>
    <t xml:space="preserve">Taiwan grouped with SEA — judgement call</t>
  </si>
  <si>
    <t xml:space="preserve">AOG Spring</t>
  </si>
  <si>
    <t xml:space="preserve">Vietnam</t>
  </si>
  <si>
    <t xml:space="preserve">OG Esports</t>
  </si>
  <si>
    <t xml:space="preserve">competes as OG Esports</t>
  </si>
  <si>
    <t xml:space="preserve">3,350 club points — standard playoff curve. Prize money sums to $3,000,000 of the $3,025,000 pool; the balance is a bounty/awards allocation. Joint richest title in the workbook alongside MLBB.</t>
  </si>
  <si>
    <t xml:space="preserve">9th-20th</t>
  </si>
  <si>
    <t xml:space="preserve">THE RULE: High = Chinese teams (the KPL Spring qualifier plus the invited defending champion) and the top two from MKL Spring, Malaysia. Medium = the rest of Southeast Asia — MKL 3rd, all three IKL Indonesia qualifiers, plus the Philippines, Thailand, Taiwan and Vietnam slots. Low = everyone else: Korea, Brazil and India. Applied from the qualifying event recorded on the official qualification table. IT SEPARATED SHARPLY AT THE TOP. All four High teams made the top eight — a 100% conversion rate — and they took first, second, third and a 5th-8th. Medium converted three of ten (30%) and Low one of six (17%), against a 40% baseline. This is the cleanest High-cohort result anywhere in the workbook: the two Chinese entries finished 1st and 2nd, and the two Malaysian top-two seeds took 3rd and a 5th-8th. MEDIUM AND LOW ARE THE WEAK PART. Both landed below the 40% baseline, so the rule is really binary — China plus the Malaysian elite versus everyone else — rather than three genuinely ordered tiers. If a future edition repeats this, collapsing Medium and Low into one band would lose almost nothing. ONE JUDGEMENT CALL: Deep Cross Gaming qualified through GCS, the Taiwanese league, which is not strictly Southeast Asia. Placed in Medium as Garena groups it with the SEA structure; flagged in the row. They finished 13th-16th, so the choice did not affect the outcome.</t>
  </si>
  <si>
    <t xml:space="preserve">Baseline top-8 rate is 8/20 = 40%.</t>
  </si>
  <si>
    <t xml:space="preserve">CrossFire — EWC 2026</t>
  </si>
  <si>
    <t xml:space="preserve">Cohorts assigned by rule from the qualifying route: invited plus all Chinese CFPL qualifiers plus the SEA Masters and CFBL winners = High; other SEA Masters/CFBL qualifiers = Medium; the West and MENA routes = Low.</t>
  </si>
  <si>
    <t xml:space="preserve">Double-elim groups → playoffs</t>
  </si>
  <si>
    <t xml:space="preserve">38 · Low</t>
  </si>
  <si>
    <t xml:space="preserve">D — cohort by route</t>
  </si>
  <si>
    <t xml:space="preserve">CFPL / SEA Masters / CFBL / CFWL</t>
  </si>
  <si>
    <t xml:space="preserve">All 16 teams. Qualifying route traced through the four CrossFire Stars points tables (CFPL China, CFBL Brazil, CFWL West, SEA Masters), so the cohort derives from sourced data.</t>
  </si>
  <si>
    <t xml:space="preserve">Qualifying route</t>
  </si>
  <si>
    <t xml:space="preserve">BaiSha Gaming</t>
  </si>
  <si>
    <t xml:space="preserve">CFPL Points 1st (China)</t>
  </si>
  <si>
    <t xml:space="preserve">CFBL Points 2nd (Brazil)</t>
  </si>
  <si>
    <t xml:space="preserve">CFPL Points 2nd (China)</t>
  </si>
  <si>
    <t xml:space="preserve">SEA Masters Summer 1st</t>
  </si>
  <si>
    <t xml:space="preserve">CFBL Points 3rd (Brazil)</t>
  </si>
  <si>
    <t xml:space="preserve">CFBL Points 1st (Brazil)</t>
  </si>
  <si>
    <t xml:space="preserve">CFWL Points 1st (West/EUMENA)</t>
  </si>
  <si>
    <t xml:space="preserve">Invited / CFPL Points 3rd as All Gamers</t>
  </si>
  <si>
    <t xml:space="preserve">listed as invited; also CFPL 3rd as All Gamers</t>
  </si>
  <si>
    <t xml:space="preserve">EUMENA Regional Finals (MENA)</t>
  </si>
  <si>
    <t xml:space="preserve">Evolution Power</t>
  </si>
  <si>
    <t xml:space="preserve">CFPL Points 4th (China)</t>
  </si>
  <si>
    <t xml:space="preserve">SEA Masters Summer 2nd</t>
  </si>
  <si>
    <t xml:space="preserve">CFPL Points 5th (China)</t>
  </si>
  <si>
    <t xml:space="preserve">CFWL Points 3rd (West/EUMENA)</t>
  </si>
  <si>
    <t xml:space="preserve">CFWL Points 2nd (West/EUMENA)</t>
  </si>
  <si>
    <t xml:space="preserve">THE RULE: High = the invited team, all five Chinese CFPL qualifiers, and the winners of SEA Masters Summer (Team Stallions) and CFBL Points (ROC Esports). Medium = the other qualifiers from those two events — Team Liquid and Natus Vincere from CFBL, Execration from SEA Masters. Low = everyone else, which here means the three CFWL West qualifiers and the three MENA teams through the EUMENA Regional Finals. THE LOW CALL WAS THE STRONG ONE. Low converted one of six into the top eight (17%) against a 50% baseline, and five of the six finished 9th or worse. High converted five of seven (71%) and took first, third and fourth. HIGH AND MEDIUM DID NOT SEPARATE. Medium converted two of three (67%), effectively the same rate as High — but on only three teams, so the comparison is thin. Team Liquid, a Medium seed from CFBL 2nd, reached the final and out-placed every Chinese team except BaiSha. THE CHINESE BLOCK SPLIT. CFPL 1st and 2nd finished 1st and 3rd, but CFPL 4th and 5th (Evolution Power, Qing Jiu Club) finished 9th-12th and 13th-16th. So Chinese qualification predicted strongly at the top of that league and not at all at the bottom — a finer cut, say CFPL top 3 only, might have separated better than treating all five as one block.</t>
  </si>
  <si>
    <t xml:space="preserve">Baseline top-8 rate is 8/16 = 50%.</t>
  </si>
  <si>
    <t xml:space="preserve">Free Fire — EWC 2026</t>
  </si>
  <si>
    <t xml:space="preserve">Two-tier cohort, no Medium: every EWC qualifier from FFWS SEA Spring, FFWS Brazil Split 1 and the FFWS LATAM EWC Qualifier, plus the defending champion, is High. Everyone else is Low.</t>
  </si>
  <si>
    <t xml:space="preserve">Battle royale, points race</t>
  </si>
  <si>
    <t xml:space="preserve">24 trios</t>
  </si>
  <si>
    <t xml:space="preserve">D — two-tier cohort</t>
  </si>
  <si>
    <t xml:space="preserve">FFWS SEA / Brazil / LATAM qualifiers</t>
  </si>
  <si>
    <t xml:space="preserve">Exact 1-20, ties from 21st</t>
  </si>
  <si>
    <t xml:space="preserve">All 24 trios, with each team's qualifying route traced through the three FFWS regional pages. Several compete under partner-brand names; the canonical column resolves them.</t>
  </si>
  <si>
    <t xml:space="preserve">FFWS LATAM EWC Qualifier 1st</t>
  </si>
  <si>
    <t xml:space="preserve">FFWS SEA Spring 2nd (as All Gamers Global)</t>
  </si>
  <si>
    <t xml:space="preserve">competes as AG.AL</t>
  </si>
  <si>
    <t xml:space="preserve">FFWS Brazil Split 1 1st</t>
  </si>
  <si>
    <t xml:space="preserve">FFWS SEA Spring 3rd</t>
  </si>
  <si>
    <t xml:space="preserve">FFWS Brazil Split 1 4th</t>
  </si>
  <si>
    <t xml:space="preserve">FFWS SEA Spring 9th</t>
  </si>
  <si>
    <t xml:space="preserve">FFWS SEA Spring 5th</t>
  </si>
  <si>
    <t xml:space="preserve">FFWS Brazil Split 1 2nd (as LOS)</t>
  </si>
  <si>
    <t xml:space="preserve">RRQ Kazu</t>
  </si>
  <si>
    <t xml:space="preserve">FFWS SEA Spring 7th</t>
  </si>
  <si>
    <t xml:space="preserve">competes as RRQ Kazu</t>
  </si>
  <si>
    <t xml:space="preserve">EVOS Divine</t>
  </si>
  <si>
    <t xml:space="preserve">Defending champion (invited)</t>
  </si>
  <si>
    <t xml:space="preserve">other route</t>
  </si>
  <si>
    <t xml:space="preserve">Team Apex Gaming</t>
  </si>
  <si>
    <t xml:space="preserve">FFWS SEA Spring 8th (as Bigetron by Vitality)</t>
  </si>
  <si>
    <t xml:space="preserve">GunDynasty</t>
  </si>
  <si>
    <t xml:space="preserve">FFWS LATAM EWC Qualifier 2nd</t>
  </si>
  <si>
    <t xml:space="preserve">FFWS SEA Spring 1st (as Secret WAG)</t>
  </si>
  <si>
    <t xml:space="preserve">competes as Secret WAG in FFWS SEA (confirmed)</t>
  </si>
  <si>
    <t xml:space="preserve">FFWS SEA Spring 4th</t>
  </si>
  <si>
    <t xml:space="preserve">Total Gaming Esports</t>
  </si>
  <si>
    <t xml:space="preserve">Straw Hats Esports</t>
  </si>
  <si>
    <t xml:space="preserve">Demons Pride</t>
  </si>
  <si>
    <t xml:space="preserve">MÍA Corp</t>
  </si>
  <si>
    <t xml:space="preserve">23-24</t>
  </si>
  <si>
    <t xml:space="preserve">ParadoX Gaming</t>
  </si>
  <si>
    <t xml:space="preserve">3,050 club points — battle-royale curve. Prize money sums to $1,000,000 of the $1,025,000 pool.</t>
  </si>
  <si>
    <t xml:space="preserve">3 · COHORT RULE — THE CLEANEST RESULT IN THE WORKBOOK</t>
  </si>
  <si>
    <t xml:space="preserve">THE RULE: High = every EWC qualifier from the three named regional events (FFWS SEA 2026 Spring, FFWS Brazil 2026 Split 1, FFWS LATAM 2026 EWC Qualifier) plus the defending champion EVOS Divine. Low = everyone else. No Medium tier. THE SEPARATION WAS ABSOLUTE. All eight top-eight places went to High seeds. Not one of the ten Low teams finished above 11th. High converted 57% (8 of 14) against a 33% baseline; Low converted 0%. No other title in the workbook has produced a perfect split like this. WHY IT WORKED. The rule is really a regional one — SEA and Brazil dominate Free Fire, and both are represented near the top of the field. The two LATAM qualifiers split the difference: LYON won the whole event, GunDynasty finished 14th. WHAT IT DOES NOT DO is order the top. Six High seeds finished 9th or worse, including the SEA Spring winner Secret WAG in 15th and SEA 4th Aurora in 16th, while SEA 9th Team Falcons finished 6th. So regional qualification predicted membership of the top eight perfectly and position within it not at all — which is exactly the split we keep seeing, in its starkest form yet. Team Secret compete as Secret WAG in FFWS SEA — confirmed, so their SEA Spring 1st place is theirs.</t>
  </si>
  <si>
    <t xml:space="preserve">Baseline top-8 rate is 8/24 = 33%. The Medium row stays in place so the tier can be introduced later without restructuring.</t>
  </si>
  <si>
    <t xml:space="preserve">EA Sports FC 26 — EWC 2026</t>
  </si>
  <si>
    <t xml:space="preserve">Run as the FC Pro 26 World Championship. Seeded from EA's official FC Pro World Rankings — pre-event standing reconstructed from the published table, see block 3.</t>
  </si>
  <si>
    <t xml:space="preserve">1v1, groups → playoffs (PS5)</t>
  </si>
  <si>
    <t xml:space="preserve">36 players</t>
  </si>
  <si>
    <t xml:space="preserve">A — official world ranking</t>
  </si>
  <si>
    <t xml:space="preserve">EA FC Pro World Rankings (pre-event)</t>
  </si>
  <si>
    <t xml:space="preserve">Bands (5-8, 9-16, 17-24, 25th)</t>
  </si>
  <si>
    <t xml:space="preserve">All 36 players. Seed ranks the field by pre-event world ranking; the post-event rank is shown alongside so the movement this tournament caused stays visible.</t>
  </si>
  <si>
    <t xml:space="preserve">Pre-event rank</t>
  </si>
  <si>
    <t xml:space="preserve">Post-event rank</t>
  </si>
  <si>
    <t xml:space="preserve">Vejrgang</t>
  </si>
  <si>
    <t xml:space="preserve">EmreYilmaz</t>
  </si>
  <si>
    <t xml:space="preserve">underperformed seed (2 → 17-24)</t>
  </si>
  <si>
    <t xml:space="preserve">nicolas99fc</t>
  </si>
  <si>
    <t xml:space="preserve">Real Sociedad</t>
  </si>
  <si>
    <t xml:space="preserve">ManuBachoore</t>
  </si>
  <si>
    <t xml:space="preserve">Paulo Neto</t>
  </si>
  <si>
    <t xml:space="preserve">Levi de Weerd</t>
  </si>
  <si>
    <t xml:space="preserve">underperformed seed (6 → 17-24)</t>
  </si>
  <si>
    <t xml:space="preserve">AbuMakkah</t>
  </si>
  <si>
    <t xml:space="preserve">jafonsogv</t>
  </si>
  <si>
    <t xml:space="preserve">underperformed seed (8 → 25)</t>
  </si>
  <si>
    <t xml:space="preserve">PHzin</t>
  </si>
  <si>
    <t xml:space="preserve">Tuzzy E-Sports</t>
  </si>
  <si>
    <t xml:space="preserve">Bonanno</t>
  </si>
  <si>
    <t xml:space="preserve">HHezerS</t>
  </si>
  <si>
    <t xml:space="preserve">Brice</t>
  </si>
  <si>
    <t xml:space="preserve">underperformed seed (12 → 25)</t>
  </si>
  <si>
    <t xml:space="preserve">Nassada</t>
  </si>
  <si>
    <t xml:space="preserve">SC Freiburg</t>
  </si>
  <si>
    <t xml:space="preserve">samugamer</t>
  </si>
  <si>
    <t xml:space="preserve">U.S. Sassuolo Calcio</t>
  </si>
  <si>
    <t xml:space="preserve">Umut</t>
  </si>
  <si>
    <t xml:space="preserve">RBLZ Gaming</t>
  </si>
  <si>
    <t xml:space="preserve">K1John</t>
  </si>
  <si>
    <t xml:space="preserve">Austin FC</t>
  </si>
  <si>
    <t xml:space="preserve">Danipitbull</t>
  </si>
  <si>
    <t xml:space="preserve">Obrun2002</t>
  </si>
  <si>
    <t xml:space="preserve">exeed</t>
  </si>
  <si>
    <t xml:space="preserve">Alihan</t>
  </si>
  <si>
    <t xml:space="preserve">overperformed seed (19 → 5-8)</t>
  </si>
  <si>
    <t xml:space="preserve">GugaFerraz</t>
  </si>
  <si>
    <t xml:space="preserve">overperformed seed (20 → 9-16)</t>
  </si>
  <si>
    <t xml:space="preserve">Karimisbak</t>
  </si>
  <si>
    <t xml:space="preserve">AS Monaco Esports</t>
  </si>
  <si>
    <t xml:space="preserve">RvPLegend</t>
  </si>
  <si>
    <t xml:space="preserve">HYPERSPIRIT</t>
  </si>
  <si>
    <t xml:space="preserve">overperformed seed (22 → 1)</t>
  </si>
  <si>
    <t xml:space="preserve">Chris de Boer</t>
  </si>
  <si>
    <t xml:space="preserve">Ajax eSports</t>
  </si>
  <si>
    <t xml:space="preserve">levyfinn</t>
  </si>
  <si>
    <t xml:space="preserve">overperformed seed (24 → 2)</t>
  </si>
  <si>
    <t xml:space="preserve">DFernandes</t>
  </si>
  <si>
    <t xml:space="preserve">Cádiz CF</t>
  </si>
  <si>
    <t xml:space="preserve">overperformed seed (25 → 9-16)</t>
  </si>
  <si>
    <t xml:space="preserve">Msdossary</t>
  </si>
  <si>
    <t xml:space="preserve">overperformed seed (26 → 9-16)</t>
  </si>
  <si>
    <t xml:space="preserve">MarwanMC9</t>
  </si>
  <si>
    <t xml:space="preserve">Caccia</t>
  </si>
  <si>
    <t xml:space="preserve">RedLac</t>
  </si>
  <si>
    <t xml:space="preserve">Toronto FC</t>
  </si>
  <si>
    <t xml:space="preserve">Adida</t>
  </si>
  <si>
    <t xml:space="preserve">Free Agent</t>
  </si>
  <si>
    <t xml:space="preserve">Ilian</t>
  </si>
  <si>
    <t xml:space="preserve">Neat</t>
  </si>
  <si>
    <t xml:space="preserve">Atlético de Madrid Esports</t>
  </si>
  <si>
    <t xml:space="preserve">overperformed seed (32 → 17-24)</t>
  </si>
  <si>
    <t xml:space="preserve">Luuk</t>
  </si>
  <si>
    <t xml:space="preserve">PSV</t>
  </si>
  <si>
    <t xml:space="preserve">overperformed seed (33 → 17-24)</t>
  </si>
  <si>
    <t xml:space="preserve">Virgil</t>
  </si>
  <si>
    <t xml:space="preserve">Borussia Dortmund</t>
  </si>
  <si>
    <t xml:space="preserve">SmalkXVII</t>
  </si>
  <si>
    <t xml:space="preserve">overperformed seed (35 → 25)</t>
  </si>
  <si>
    <t xml:space="preserve">Milkalove</t>
  </si>
  <si>
    <t xml:space="preserve">Holstein Kiel</t>
  </si>
  <si>
    <t xml:space="preserve">overperformed seed (36 → 9-16)</t>
  </si>
  <si>
    <t xml:space="preserve">3,350 club points — standard playoff curve. Prize money sums to the full $1,045,000.</t>
  </si>
  <si>
    <t xml:space="preserve">9th-36th</t>
  </si>
  <si>
    <t xml:space="preserve">3 · SEED SOURCE — EA FC PRO WORLD RANKINGS, AND HOW THE PRE-EVENT TABLE WAS RECOVERED</t>
  </si>
  <si>
    <t xml:space="preserve">EA's FC Pro World Rankings are the only official ranking for this title — a publisher-maintained points system covering the whole competitive ecosystem, which is exactly what method A wants. THE TIMING PROBLEM AND THE FIX. The live table is dated 26 July 2026, the final day of this event, and it plainly includes the event's own results: the Change column shows the champion RvPLegend rising 26 places and runner-up levyfinn rising 24. Seeding from it would leak the result into the seed. Because EA publishes that Change column, the pre-event standing can be recovered exactly: pre-event rank = current rank + change. That reverses this tournament's movement and recovers the order as players entered. Seeds here use those reconstructed ranks; both are shown so the movement stays visible. This is derived rather than published, so treat it as method A with a caveat rather than a clean snapshot. WHAT 2026 SHOWED — the worst seed performance of any title in the workbook. Champion RvPLegend entered ranked 30th of the field's pre-event standing. Runner-up levyfinn entered 36th, the LOWEST-ranked player present. Meanwhile world number one Vejrgang finished 5th-8th, number two Emre Yilmaz 17th-24th, and number eight jafonsogv finished 25th. Of the top eight seeds, only two reached the top eight. This is consistent with FC being the title where favourites most reliably fail — the same pattern noted when the portfolio work flagged that FC26's top-8 cohort is unusually affordable precisely because ranking predicts so little.</t>
  </si>
  <si>
    <t xml:space="preserve">Call of Duty: Black Ops 7 — EWC 2026</t>
  </si>
  <si>
    <t xml:space="preserve">Seed method B — the most recent event, the CDL Season 7 Championship. Non-CDL entrants take the bottom seeds because they had no route into that event.</t>
  </si>
  <si>
    <t xml:space="preserve">4v4, groups → playoffs</t>
  </si>
  <si>
    <t xml:space="preserve">28 · Low</t>
  </si>
  <si>
    <t xml:space="preserve">B — most recent event</t>
  </si>
  <si>
    <t xml:space="preserve">CDL Season 7 Championship, Jul 2026</t>
  </si>
  <si>
    <t xml:space="preserve">All 16 teams. CDL franchises compete under city-brand names in the league and org names at EWC — both are shown. G2 Esports' 200 points are voided for roster changes past the Deadline.</t>
  </si>
  <si>
    <t xml:space="preserve">EWC name</t>
  </si>
  <si>
    <t xml:space="preserve">CDL name</t>
  </si>
  <si>
    <t xml:space="preserve">CDL Championship 1st</t>
  </si>
  <si>
    <t xml:space="preserve">OpTic Gaming</t>
  </si>
  <si>
    <t xml:space="preserve">OpTic Texas</t>
  </si>
  <si>
    <t xml:space="preserve">CDL Championship 2nd</t>
  </si>
  <si>
    <t xml:space="preserve">Riyadh Falcons</t>
  </si>
  <si>
    <t xml:space="preserve">CDL Championship 3rd</t>
  </si>
  <si>
    <t xml:space="preserve">Paris Gentle Mates</t>
  </si>
  <si>
    <t xml:space="preserve">CDL Championship 4th</t>
  </si>
  <si>
    <t xml:space="preserve">CDL Championship 5th-6th</t>
  </si>
  <si>
    <t xml:space="preserve">Toronto KOI</t>
  </si>
  <si>
    <t xml:space="preserve">CDL Championship 7th-8th</t>
  </si>
  <si>
    <t xml:space="preserve">Los Angeles Thieves</t>
  </si>
  <si>
    <t xml:space="preserve">Carolina Royal Ravens</t>
  </si>
  <si>
    <t xml:space="preserve">CDL regular season 9th</t>
  </si>
  <si>
    <t xml:space="preserve">Boston Breach</t>
  </si>
  <si>
    <t xml:space="preserve">CDL regular season 10th</t>
  </si>
  <si>
    <t xml:space="preserve">Vancouver Surge</t>
  </si>
  <si>
    <t xml:space="preserve">CDL regular season 11th</t>
  </si>
  <si>
    <t xml:space="preserve">Cloud9 New York</t>
  </si>
  <si>
    <t xml:space="preserve">CDL regular season 12th</t>
  </si>
  <si>
    <t xml:space="preserve">OMiT</t>
  </si>
  <si>
    <t xml:space="preserve">-</t>
  </si>
  <si>
    <t xml:space="preserve">non-CDL entrant</t>
  </si>
  <si>
    <t xml:space="preserve">Project Notorious</t>
  </si>
  <si>
    <t xml:space="preserve">Team WaR</t>
  </si>
  <si>
    <t xml:space="preserve">The Pit</t>
  </si>
  <si>
    <t xml:space="preserve">3,150 ELIGIBLE club points: the curve awards 3,350, but G2 Esports' 200 was voided for roster changes past the Deadline. Prize money sums to the full $1,800,000.</t>
  </si>
  <si>
    <t xml:space="preserve">3 · SEED — CDL CHAMPIONSHIP, AND THE CLEANEST GROUP SPLIT IN THE WORKBOOK</t>
  </si>
  <si>
    <t xml:space="preserve">THE BASIS: the CDL Season 7 Championship, played in Las Vegas in July 2026, three weeks before EWC. It is the most recent competitive meeting of this field and it is exclusive to CDL franchises, which is why the four non-CDL entrants take the bottom seeds — they had no route into it, so there is no form to read. The four CDL franchises that missed those playoffs are seeded 9-12 by regular-season finish. THE GROUP SPLIT WAS PERFECT. All eight CDL Championship playoff teams finished in the EWC top eight. All eight non-playoff and non-CDL teams finished 9th or worse. Not one exception in sixteen. No other title in the workbook has produced a clean binary split like this, and it makes a strong case that CDL participation is the single most informative seed signal available in any title here. THE ORDERING WITHIN THE TOP EIGHT WAS POOR. CDL champions FaZe Vegas, seeded 1st, finished 5th-8th. CDL runners-up OpTic won EWC. Los Angeles Thieves, seeded 8th of the playoff group, took 3rd. So the event told you exactly WHO would contend and almost nothing about the order — the same split seen across the workbook, but with an unusually sharp membership signal. NAMING: CDL franchises use city brands in the league and org names at EWC — FaZe Vegas is FaZe Clan, Riyadh Falcons is Team Falcons, Los Angeles Thieves is 100 Thieves, and so on. Both names are recorded so the mapping is auditable.</t>
  </si>
  <si>
    <t xml:space="preserve">Seed group</t>
  </si>
  <si>
    <t xml:space="preserve">CDL playoff</t>
  </si>
  <si>
    <t xml:space="preserve">CDL non-playoff</t>
  </si>
  <si>
    <t xml:space="preserve">non-CDL</t>
  </si>
  <si>
    <t xml:space="preserve">Rocket League — EWC 2026</t>
  </si>
  <si>
    <t xml:space="preserve">Seeded from RLCS 2026 Rankings, adjusted for regional strength. One seed column (H) feeds the simulator. Regional points are not comparable across regions; the correction is derived entirely from pre-event Majors.</t>
  </si>
  <si>
    <t xml:space="preserve">3v3, groups → playoffs</t>
  </si>
  <si>
    <t xml:space="preserve">26 · Low</t>
  </si>
  <si>
    <t xml:space="preserve">A — circuit points, region-adjusted</t>
  </si>
  <si>
    <t xml:space="preserve">RLCS 2026 Rankings + regional strength</t>
  </si>
  <si>
    <t xml:space="preserve">All 16 teams, ordered by the seed used. Adjusted points = regional points × the region multiplier; the multiplier comes from the two 2026 Majors, both played before this event.</t>
  </si>
  <si>
    <t xml:space="preserve">Reg. rank</t>
  </si>
  <si>
    <t xml:space="preserve">Reg. points</t>
  </si>
  <si>
    <t xml:space="preserve">Region multiplier</t>
  </si>
  <si>
    <t xml:space="preserve">Adjusted points</t>
  </si>
  <si>
    <t xml:space="preserve">SEED</t>
  </si>
  <si>
    <t xml:space="preserve">EU</t>
  </si>
  <si>
    <t xml:space="preserve">Ninjas in Pyjamas eStar</t>
  </si>
  <si>
    <t xml:space="preserve">unadjusted points would seed them 15 | canonical join corrected to Ninjas in Pyjamas, matching the Warzone tab</t>
  </si>
  <si>
    <t xml:space="preserve">NA</t>
  </si>
  <si>
    <t xml:space="preserve">SAM</t>
  </si>
  <si>
    <t xml:space="preserve">SSA</t>
  </si>
  <si>
    <t xml:space="preserve">unadjusted points would seed them 4</t>
  </si>
  <si>
    <t xml:space="preserve">OCE</t>
  </si>
  <si>
    <t xml:space="preserve">TSM</t>
  </si>
  <si>
    <t xml:space="preserve">unadjusted points would seed them 6</t>
  </si>
  <si>
    <t xml:space="preserve">3,350 club points — standard playoff curve. Prize money sums to the full $1,025,000.</t>
  </si>
  <si>
    <t xml:space="preserve">3 · THE REGIONAL ADJUSTMENT — AND WHY IT MATTERS MORE HERE THAN ANYWHERE ELSE</t>
  </si>
  <si>
    <t xml:space="preserve">WHY AN ADJUSTMENT IS NEEDED — decided before looking at any EWC result. RLCS points are earned inside a region, so the number measures performance against regional opposition only. A team can top a weak region on a high total while never having beaten an international field. Comparing those totals directly across regions is not a judgement call about strength; it is a category error in the unit itself. THE CORRECTION IS PRE-EVENT. Liquipedia publishes a regional strength table built from the mean points each region's teams earned at the two 2026 Majors — Boston and Paris — both played BEFORE this event. Normalising to EU = 1.00 gives each region a multiplier: EU 1.00, MENA 0.76, NA 0.55, SAM 0.36, OCE 0.29, APAC 0.23, SSA 0.23. Adjusted points = regional points x multiplier. Every input is prior to EWC, so the seed is a clean statement of pre-event expectation and contains no information about what happened here. WHAT IT CHANGES. Five Fears led SSA on 101 points, more than Team Vitality's 97 in EU; unadjusted they would seed 4th, adjusted 13th. TSM led APAC on 96 and moves from 6th to 15th. Wildcard won OCE on 78 and moves from 12th to 14th. The Notes column records the unadjusted seed wherever it differs by six places or more. POST-HOC OBSERVATION, recorded separately because it played no part in choosing the method: across the 16 teams the adjusted seed tracked the finishing order more closely than the unadjusted one. That is an output of the exercise, not a reason for it. GENERALISES TO OTHER TITLES: the same defect affects Rainbow Six, where SI points treat an APAC slot and a North American slot as equal. Rocket League is the one title where the publisher supplies the cross-region correction ready-made; elsewhere it would have to be constructed.</t>
  </si>
  <si>
    <t xml:space="preserve">Mean pts at Majors</t>
  </si>
  <si>
    <t xml:space="preserve">Multiplier (EU=1.00)</t>
  </si>
  <si>
    <t xml:space="preserve">Teams at EWC</t>
  </si>
  <si>
    <t xml:space="preserve">Regional strength is itself an input — recompute the multipliers from each season's Majors rather than carrying 2026 values forward.</t>
  </si>
  <si>
    <t xml:space="preserve">Club Championship simulation — pre-event seeds only</t>
  </si>
  <si>
    <t xml:space="preserve">20,000 Monte Carlo runs across all 25 titles. Every run re-draws each title from its seeds alone, scores it on that title’s official points curve, takes each club’s best entry, and sums to a Club Championship table. Nothing from the actual EWC26 results enters the draw; the two right-hand columns are the outcome, shown for comparison only.</t>
  </si>
  <si>
    <t xml:space="preserve">ENGINE</t>
  </si>
  <si>
    <t xml:space="preserve">TEMPERATURE</t>
  </si>
  <si>
    <t xml:space="preserve">RUNS</t>
  </si>
  <si>
    <t xml:space="preserve">Plackett-Luce, sampled without replacement</t>
  </si>
  <si>
    <t xml:space="preserve">T = TVI / 50, applied per title</t>
  </si>
  <si>
    <t xml:space="preserve">1 · LIKELIHOOD OF A TOP-EIGHT CLUB CHAMPIONSHIP FINISH</t>
  </si>
  <si>
    <t xml:space="preserve">Ordered by simulated top-eight probability. Mean points is the average CC total across runs; P10 and P90 bound the middle 80% of outcomes, so the width of that band is the honest measure of how little the seeds pin down.</t>
  </si>
  <si>
    <t xml:space="preserve">Top-8 %</t>
  </si>
  <si>
    <t xml:space="preserve">Win %</t>
  </si>
  <si>
    <t xml:space="preserve">Mean pts</t>
  </si>
  <si>
    <t xml:space="preserve">P10</t>
  </si>
  <si>
    <t xml:space="preserve">P90</t>
  </si>
  <si>
    <t xml:space="preserve">Actual pts</t>
  </si>
  <si>
    <t xml:space="preserve">Actual rank</t>
  </si>
  <si>
    <t xml:space="preserve">Gap vs mean</t>
  </si>
  <si>
    <t xml:space="preserve">Read</t>
  </si>
  <si>
    <t xml:space="preserve">seeded top-eight, finished top-eight</t>
  </si>
  <si>
    <t xml:space="preserve">underperformed its seeds</t>
  </si>
  <si>
    <t xml:space="preserve">outperformed its seeds</t>
  </si>
  <si>
    <t xml:space="preserve">near miss, roughly on seed</t>
  </si>
  <si>
    <t xml:space="preserve">low seed, low finish</t>
  </si>
  <si>
    <t xml:space="preserve">Shaded rows are the clubs that actually finished top eight; gold marks the actual podium.</t>
  </si>
  <si>
    <t xml:space="preserve">2 · THE ACTUAL TOP EIGHT — HOW LIKELY WAS THE PLACEMENT THEY GOT?</t>
  </si>
  <si>
    <t xml:space="preserve">P(exact) is how often that club finished in precisely that position across the 20,000 runs. Median rank is where the seeds expected them. The two are the honest measure of how much of EWC26 the pre-event picture actually contained.</t>
  </si>
  <si>
    <t xml:space="preserve">Actual</t>
  </si>
  <si>
    <t xml:space="preserve">P(exact rank)</t>
  </si>
  <si>
    <t xml:space="preserve">P(top 3)</t>
  </si>
  <si>
    <t xml:space="preserve">P(top 8)</t>
  </si>
  <si>
    <t xml:space="preserve">Median rank</t>
  </si>
  <si>
    <t xml:space="preserve">Modelled mean</t>
  </si>
  <si>
    <t xml:space="preserve">Team Spirit and Virtus.pro tied on 2,200; the order shown is the published one.</t>
  </si>
  <si>
    <t xml:space="preserve">3 · THE RUN EACH OF THEM HAD, AND THE EVENT THAT DECIDED IT</t>
  </si>
  <si>
    <t xml:space="preserve">#1  AG.AL International</t>
  </si>
  <si>
    <t xml:space="preserve">Trackmania, a title in its first EWC year, was the whole championship. Gwen’s win was worth 1,000 against a modelled 450, and the Tekken 8 win added 1,000 more against under 100. Their seeds pointed at breadth, not titles: the model expected them to grind out 300-450 apiece in LoL, Honor of Kings and CrossFire and they returned 200, 750 and 200. Take Trackmania away and they finish second.</t>
  </si>
  <si>
    <t xml:space="preserve">#2  Team Falcons</t>
  </si>
  <si>
    <t xml:space="preserve">The most-seeded club in the workbook, entered in 22 of 25 titles, and the model made them a 77% favourite on that alone. They lost it by conversion, not by absence: seeded for roughly 720 in Chess they took 500, for 540 in MLBB Women’s they took 200, for 440 in Tekken 200, for 400 in Fatal Fury nothing at all. Two outright wins (Street Fighter 6, Rocket League) were not enough to cover thirteen scoring finishes that mostly landed at the bottom of their band.</t>
  </si>
  <si>
    <t xml:space="preserve">#3  Team Vitality</t>
  </si>
  <si>
    <t xml:space="preserve">Almost exactly on script — modelled mean 3,206, actual 3,300, and third in both. The MWI title defence delivered the 1,000 their High cohort implied. What is striking is the shape underneath: eight separate titles returned exactly 200. Trackmania at 500 was the one genuine overperformance; Rocket League (419 expected, 200 taken) and Valorant (303 expected, 200) were the offsetting misses.</t>
  </si>
  <si>
    <t xml:space="preserve">#4  Natus Vincere</t>
  </si>
  <si>
    <t xml:space="preserve">The largest single upset in the top eight. Median simulated rank was 15th and fourth place came up in 2.8% of runs. They scored in only six titles, but two were near-lottery events on our own methodology: the Fatal Fury win (1,000 against a modelled 105) came in a title the workbook rates as having no credible seed at all. Add the MWI final and the PUBG podium and a thin footprint produced a top-four finish. This is the club the seeding methodology understands least.</t>
  </si>
  <si>
    <t xml:space="preserve">#5  Team Liquid</t>
  </si>
  <si>
    <t xml:space="preserve">Four scoring titles, but they were the right four. Chess was the one place the model already backed them (781 expected) and they won it outright. Trackmania at 750 and CrossFire at 750 against a modelled 131 were the surprises. The offsetting non-event was EA FC 26, where a strong seed implied 455 and returned nothing.</t>
  </si>
  <si>
    <t xml:space="preserve">#6  Team Spirit</t>
  </si>
  <si>
    <t xml:space="preserve">The clearest outlier in the entire field. Three entries, two of them won: CS2 and MLBB MSC, 1,000 each. Median simulated rank is 52nd and sixth place occurred in 0.6% of runs. Nothing in the pre-event seeds justified this, and nothing in the model can be tuned to produce it — it is what a narrow, elite entry list looks like when both bets land. Tied with Virtus.pro on 2,200.</t>
  </si>
  <si>
    <t xml:space="preserve">#7  Virtus.pro</t>
  </si>
  <si>
    <t xml:space="preserve">Made the top eight through two big conversions, the PUBG title (1,000 against a modelled 185) and the Fatal Fury final. The pivotal non-event sits on the new Overwatch 2 tab: as EMEA Stage 2 winner they were a High cohort seed worth a modelled 380, and they went out 9th-12th for nothing. Had that landed anywhere near its seed they finish comfortably fifth.</t>
  </si>
  <si>
    <t xml:space="preserve">#8  Aurora Gaming</t>
  </si>
  <si>
    <t xml:space="preserve">Finished eighth against a 58.6% top-eight probability and a median of seventh — the least surprising club on this list. TFT at 750 carried them, with 500 apiece from PUBG Mobile and Fortnite. Worth noting Fortnite is a declared no-credible-seed title, so 500 of their 2,150 came from a title the model treats as a coin toss. The miss was Honor of Kings: 459 expected, 200 taken.</t>
  </si>
  <si>
    <t xml:space="preserve">4 · WHAT THE SEEDS ACTUALLY PREDICT</t>
  </si>
  <si>
    <t xml:space="preserve">BREADTH BEATS STRENGTH, AND IT IS NOT CLOSE. Team Falcons enter 22 of 25 titles and come out of the model at 99.9% for a top-eight finish and 76.8% to win outright — not because any single seed is dominant, but because 22 independent draws at a points curve is simply more expected points than 12 draws. AG.AL entered 19 titles and win 10.8% of runs. Nothing else in the field entered enough titles to matter. If this model is used to set expectations, entry count is the first lever, well ahead of roster quality in any one title.</t>
  </si>
  <si>
    <t xml:space="preserve">THE MODEL WAS RIGHT ABOUT THE SHAPE AND WRONG ABOUT THE WINNER. Seven of the eight clubs that actually finished top eight sit in the model's top eleven, and six of the top eight by simulated probability finished top eight in reality. But the model made Falcons a 77% favourite and AG.AL an 11% one, and AG.AL won by 700 points. On these seeds that outcome sits inside the distribution rather than outside it — AG.AL's P90 is 4,800 against an actual 5,300 — but it was not the expected result.</t>
  </si>
  <si>
    <t xml:space="preserve">THE MISSES ARE INFORMATIVE. Natus Vincere (mean 1,326, actual 2,950), Team Spirit (653 vs 2,200) and Virtus.pro (1,641 vs 2,200) all beat their seeds badly, and all three did it by winning a title outright rather than by broad accumulation — the 1,000-point top prize is where the variance lives. In the other direction Gen.G (1,816 vs 800), Geekay (1,280 vs 850) and Team Nemesis (1,153 vs 400) entered plenty of titles and converted almost none of them.</t>
  </si>
  <si>
    <t xml:space="preserve">THE BANDS ARE WIDE ON PURPOSE. Falcons' middle-80% range is 3,650-6,900; AG.AL's is 2,000-4,800. Those overlap heavily, which is the model saying that on pre-event information alone the title was not decided. Narrowing them means better seeds, not a lower TVI — the TVI values are approved and were not touched.</t>
  </si>
  <si>
    <t xml:space="preserve">5 · ASSUMPTIONS IN THE DRAW — all of them are levers, none are results</t>
  </si>
  <si>
    <t xml:space="preserve">· Cohort weights: High 3.0 / Medium 1.0 / Low 0.4, matching the Overwatch 2 tab. Weights are relative odds and do not move when a cohort changes size.</t>
  </si>
  <si>
    <t xml:space="preserve">· Ranked-seed titles: the seed rank is converted to a weight on a fixed curve where the top seed is worth 7.5x the bottom seed, chosen to match the High-to-Low span of the cohort titles so the two seed types are comparable.</t>
  </si>
  <si>
    <t xml:space="preserve">· Method E titles (Warzone, Free Fire, Fortnite, Fatal Fury): every entry carries equal weight, so those titles are pure lottery in the model, which is what declaring no credible seed means.</t>
  </si>
  <si>
    <t xml:space="preserve">· Temperature T = TVI/50 per title. Effective weight = w^(1/T). Approved TVI values were used as they stand.</t>
  </si>
  <si>
    <t xml:space="preserve">· Voided entries score zero wherever they finish, since the four voids were roster-deadline breaches and independent of placement.</t>
  </si>
  <si>
    <t xml:space="preserve">· Best entry per club per title, matching the reconciliation. Second entries and partner brands resolve through the same canonical column.</t>
  </si>
  <si>
    <t xml:space="preserve">· Rating values are not used even where they exist (VRS, Elo, GPR score, EPT points). Feeding those in instead of the ordinal rank would sharpen the ranked-seed titles and is the most obvious next improvement.</t>
  </si>
  <si>
    <t xml:space="preserve">6 · HOW TVI ENTERED EACH TITLE</t>
  </si>
  <si>
    <t xml:space="preserve">TVI IS A TEMPERATURE, NOT NOISE. Nothing is added to a team’s points. Each title’s TVI is converted to T = TVI / 50, and every entry’s seed weight is raised to the power 1/T before the draw. T below 1 sharpens the weights and makes the field more deterministic; T above 1 flattens them toward a lottery; T = 1 (TVI 50) leaves the seeds exactly as written. This is why the same cohort labels behave completely differently in Honor of Kings and Apex Legends.</t>
  </si>
  <si>
    <t xml:space="preserve">THE LEVERAGE IS EXPONENTIAL, WHICH MATTERS AT THE EXTREMES. A seed span of 7.5x between best and worst becomes 7.5^(1/T) after the temperature is applied. At Chess (TVI 8, T = 0.16) that is a span of roughly 295,000x, so the top seed scores in essentially every run and wins 45% of them. At Apex (TVI 82, T = 1.64) the same 7.5x span compresses to 3.4x and the top seed scores in 28% of runs against a 20% baseline. Low-TVI titles are where seeds do the work; high-TVI titles are where they barely matter.</t>
  </si>
  <si>
    <t xml:space="preserve">WHERE THE SEED IS FLAT, TVI DOES NOTHING AT ALL. Fatal Fury, PUBG Mobile and Fortnite Reload are declared method E, so every entry carries an identical weight. Raising an identical set of weights to any power leaves them identical: the lift column reads 1.00x and the top seed scores at exactly the base rate. Their high TVI is descriptively true but computationally inert. That is worth knowing, because those three titles delivered 500 points to Aurora and 1,000 to Natus Vincere in the actual event.</t>
  </si>
  <si>
    <t xml:space="preserve">READING THE TABLE. Lift is the top seed’s modelled chance of winning the title divided by the chance a random entry would have. It is the single cleanest measure of how much seed information survives the volatility. Anything near 1.00x means the title is being simulated as a coin toss regardless of what the seed column says.</t>
  </si>
  <si>
    <t xml:space="preserve">T</t>
  </si>
  <si>
    <t xml:space="preserve">Seed type</t>
  </si>
  <si>
    <t xml:space="preserve">Eff. top:bottom</t>
  </si>
  <si>
    <t xml:space="preserve">Top seed win %</t>
  </si>
  <si>
    <t xml:space="preserve">Flat baseline</t>
  </si>
  <si>
    <t xml:space="preserve">Lift</t>
  </si>
  <si>
    <t xml:space="preserve">Exp pts top</t>
  </si>
  <si>
    <t xml:space="preserve">Exp pts bottom</t>
  </si>
  <si>
    <t xml:space="preserve">ranked</t>
  </si>
  <si>
    <t xml:space="preserve">Rainbow Six</t>
  </si>
  <si>
    <t xml:space="preserve">cohort</t>
  </si>
  <si>
    <t xml:space="preserve">MLBB Women</t>
  </si>
  <si>
    <t xml:space="preserve">LoL</t>
  </si>
  <si>
    <t xml:space="preserve">Fatal Fury CotW</t>
  </si>
  <si>
    <t xml:space="preserve">flat (method E)</t>
  </si>
  <si>
    <t xml:space="preserve">CS2</t>
  </si>
  <si>
    <t xml:space="preserve">TFT</t>
  </si>
  <si>
    <t xml:space="preserve">EA FC 26</t>
  </si>
  <si>
    <t xml:space="preserve">Fortnite Reload</t>
  </si>
  <si>
    <t xml:space="preserve">Cream rows are titles where T &lt; 1, so the temperature sharpens the seeds. Grey rows are the declared no-credible-seed titles, where TVI has no effect.</t>
  </si>
  <si>
    <t xml:space="preserve">Exp pts top / bottom are the modelled average club points for the strongest and weakest seed in that title, which is the same leverage expressed in the currency the Club Championship actually pays in.</t>
  </si>
  <si>
    <t xml:space="preserve">TVI values are the approved ones and were not recalibrated. If any title looks mis-leveraged here, the fix is the TVI on that title tab, not anything in this sheet.</t>
  </si>
  <si>
    <t xml:space="preserve">Cross-check — title tabs vs official Club Championship totals</t>
  </si>
  <si>
    <t xml:space="preserve">Every Club Championship-eligible club, not just the top 24. Official totals come from the final standings; clubs with no scoring row show a blank official column. Title tabs are joined on their Club (canonical) column, so second entries and partner brands resolve to the parent club. A club scores only its BEST placement per title, so each title column takes a MAX.</t>
  </si>
  <si>
    <t xml:space="preserve">SF6</t>
  </si>
  <si>
    <t xml:space="preserve">CotW</t>
  </si>
  <si>
    <t xml:space="preserve">R6</t>
  </si>
  <si>
    <t xml:space="preserve">WZ</t>
  </si>
  <si>
    <t xml:space="preserve">VAL</t>
  </si>
  <si>
    <t xml:space="preserve">MSC</t>
  </si>
  <si>
    <t xml:space="preserve">APEX</t>
  </si>
  <si>
    <t xml:space="preserve">HoK</t>
  </si>
  <si>
    <t xml:space="preserve">CF</t>
  </si>
  <si>
    <t xml:space="preserve">FF</t>
  </si>
  <si>
    <t xml:space="preserve">FC26</t>
  </si>
  <si>
    <t xml:space="preserve">BO7</t>
  </si>
  <si>
    <t xml:space="preserve">RL</t>
  </si>
  <si>
    <t xml:space="preserve">OW2</t>
  </si>
  <si>
    <t xml:space="preserve">MWI</t>
  </si>
  <si>
    <t xml:space="preserve">Sum across tabs</t>
  </si>
  <si>
    <t xml:space="preserve">Official CC total</t>
  </si>
  <si>
    <t xml:space="preserve">Variance</t>
  </si>
  <si>
    <t xml:space="preserve">Status</t>
  </si>
  <si>
    <t xml:space="preserve">Geltek Cyber Team</t>
  </si>
  <si>
    <t xml:space="preserve">Dallas Fuel</t>
  </si>
  <si>
    <t xml:space="preserve">SAETA</t>
  </si>
  <si>
    <t xml:space="preserve">All 25 title tabs now exist, so every club should reconcile to zero. A NEGATIVE variance means a scoring row is missing or a club name has not resolved to its canonical form; a POSITIVE variance means a club has been credited twice, usually a second entry that should have been folded into the parent club.</t>
  </si>
  <si>
    <t xml:space="preserve">VOIDED CLUB POINTS — roster-deadline breaches</t>
  </si>
  <si>
    <t xml:space="preserve">Four clubs had points voided at EWC26. All four are now applied in their own title tab via the 'CC eligible?' column, whose Eligible pts column feeds this sheet. None of the three titles added last (Overwatch 2, PUBG, MLBB Women's) carried a void.</t>
  </si>
  <si>
    <t xml:space="preserve">Points</t>
  </si>
  <si>
    <t xml:space="preserve">Applied</t>
  </si>
  <si>
    <t xml:space="preserve">Reason</t>
  </si>
  <si>
    <t xml:space="preserve">Tab status</t>
  </si>
  <si>
    <t xml:space="preserve">squad signed past the Team Deadline</t>
  </si>
  <si>
    <t xml:space="preserve">applied in Apex Legends tab</t>
  </si>
  <si>
    <t xml:space="preserve">applied in TFT tab</t>
  </si>
  <si>
    <t xml:space="preserve">footnote says 300; event page places them 5th-8th = 200, and their published total confirms 200</t>
  </si>
  <si>
    <t xml:space="preserve">roster changes past the Deadline</t>
  </si>
  <si>
    <t xml:space="preserve">applied in Black Ops 7 tab</t>
  </si>
  <si>
    <t xml:space="preserve">applied in Rainbow Six tab</t>
  </si>
  <si>
    <t xml:space="preserve">listed as 'GK' in the footnote</t>
  </si>
  <si>
    <t xml:space="preserve">Overwatch 2 — EWC 2026</t>
  </si>
  <si>
    <t xml:space="preserve">OWCS 2026 Midseason Championship, Paris, 29 July - 2 August. Cohort-seeded by the agreed Stage 2 rule; one cohort column (D) feeds the simulator.</t>
  </si>
  <si>
    <t xml:space="preserve">2 groups of 8 → playoffs</t>
  </si>
  <si>
    <t xml:space="preserve">D — cohort by OWCS Stage 2</t>
  </si>
  <si>
    <t xml:space="preserve">OWCS 2026 regional Stage 2 standings</t>
  </si>
  <si>
    <t xml:space="preserve">All 16 teams with placement bands, official club points and prize money from the OWCS Midseason Championship prize table. Cohort drives the simulator — edit it directly.</t>
  </si>
  <si>
    <t xml:space="preserve">Korea Stage 2 winner</t>
  </si>
  <si>
    <t xml:space="preserve">EMEA Stage 2 3rd</t>
  </si>
  <si>
    <t xml:space="preserve">Korea Stage 2 3rd — took the second Korea slot</t>
  </si>
  <si>
    <t xml:space="preserve">China Stage 2 winner</t>
  </si>
  <si>
    <t xml:space="preserve">EMEA Stage 2 2nd</t>
  </si>
  <si>
    <t xml:space="preserve">NA Stage 2 2nd</t>
  </si>
  <si>
    <t xml:space="preserve">NA Stage 2 winner</t>
  </si>
  <si>
    <t xml:space="preserve">Korea Stage 2 2nd; qualified via Champions Clash</t>
  </si>
  <si>
    <t xml:space="preserve">Title defender</t>
  </si>
  <si>
    <t xml:space="preserve">auto-qualified as MSC 2025 champion</t>
  </si>
  <si>
    <t xml:space="preserve">EMEA Stage 2 winner — biggest High-cohort miss</t>
  </si>
  <si>
    <t xml:space="preserve">China Stage 2 2nd</t>
  </si>
  <si>
    <t xml:space="preserve">OWCS Japan</t>
  </si>
  <si>
    <t xml:space="preserve">NA Stage 2 3rd</t>
  </si>
  <si>
    <t xml:space="preserve">China Stage 2 3rd</t>
  </si>
  <si>
    <t xml:space="preserve">Pacific</t>
  </si>
  <si>
    <t xml:space="preserve">Pacific winner</t>
  </si>
  <si>
    <t xml:space="preserve">FACEIT SA qualifier</t>
  </si>
  <si>
    <t xml:space="preserve">3,350 club points awarded on the standard playoff curve. Prize money sums to the full $1,000,000.</t>
  </si>
  <si>
    <t xml:space="preserve">Official EWC Club Championship curve for this title. Points are locked; edit placement only.</t>
  </si>
  <si>
    <t xml:space="preserve">9th and below — prize money only</t>
  </si>
  <si>
    <t xml:space="preserve">3 · COHORT MODEL — STRENGTH WEIGHTS (PLACKETT-LUCE)</t>
  </si>
  <si>
    <t xml:space="preserve">THE RULE, agreed before any result was looked at: High = the top 2 of OWCS Korea Stage 2 plus the Stage 2 winners of NA, EMEA and China. Low = the Pacific qualifier and the FACEIT qualifier. Medium = everyone else, including the Japan seed and the EWC title defender. Applied literally to Stage 2 finishing position, so Crazy Raccoon (Korea 2nd) is High even though their EWC slot came from Champions Clash, and T1 (Korea 3rd) is Medium even though they took the second Korea slot.</t>
  </si>
  <si>
    <t xml:space="preserve">A cohort is not a rank, it is a STRENGTH WEIGHT. The weight below is a relative odds figure: a High team is treated as three times as likely as a Medium team to be picked next in any given draw, and that ratio does not change if the High cohort grows or shrinks. This is the difference from a band model, where a cohort's implied strength moves when teams are reassigned into it. Cohort size affects how much of the field's total weight a cohort holds, never what an individual team is worth.</t>
  </si>
  <si>
    <t xml:space="preserve">The draw itself is Plackett-Luce. Each run, the finishing order is sampled without replacement: the team picked first is chosen with probability proportional to its effective weight, then the next from those remaining, and so on. TVI enters as a temperature: effective weight = w^(1/T), T = TVI/50. A low TVI pushes T below 1, sharpens the weights and makes the favourites win more often; a high TVI flattens them toward a coin-flip field. Change a team's cohort and only that team moves; change the TVI and the whole field's separation moves together.</t>
  </si>
  <si>
    <t xml:space="preserve">Strength weight</t>
  </si>
  <si>
    <t xml:space="preserve">Share of field</t>
  </si>
  <si>
    <t xml:space="preserve">Per-team pick prob.</t>
  </si>
  <si>
    <t xml:space="preserve">TOTAL WEIGHT IN FIELD</t>
  </si>
  <si>
    <t xml:space="preserve">Temperature T (auto)</t>
  </si>
  <si>
    <t xml:space="preserve">Only the three weight cells and the TVI are inputs — everything else on this tab is a formula.</t>
  </si>
  <si>
    <t xml:space="preserve">Sanity check from EWC26: the rule separated poorly at the top. Of the five High teams, two finished top four (ZETA 1st, Weibo 4th) but Virtus.pro went out 9th-12th. Both Low teams finished 13th-16th, which is the part of the rule that did its job.</t>
  </si>
  <si>
    <t xml:space="preserve">PUBG: BATTLEGROUNDS — EWC 2026</t>
  </si>
  <si>
    <t xml:space="preserve">Paris, 21-26 July. 24 teams, group stage into a 16-team Grand Finals under the Smash Rule. Cohort-seeded from the published EWC qualification pathway.</t>
  </si>
  <si>
    <t xml:space="preserve">Groups → Grand Finals</t>
  </si>
  <si>
    <t xml:space="preserve">62 · High</t>
  </si>
  <si>
    <t xml:space="preserve">D — cohort by qualification pathway</t>
  </si>
  <si>
    <t xml:space="preserve">KRAFTON, Road to EWC 2026 (16 Jun 26)</t>
  </si>
  <si>
    <t xml:space="preserve">Exact 1-16, group exits 17-24</t>
  </si>
  <si>
    <t xml:space="preserve">Final standings are the cumulative Grand Finals table after Day 3. The eight teams eliminated in the group stage share 17-24 and score nothing.</t>
  </si>
  <si>
    <t xml:space="preserve">PGS Points</t>
  </si>
  <si>
    <t xml:space="preserve">The Vicious Esports</t>
  </si>
  <si>
    <t xml:space="preserve">Regional — Vietnam</t>
  </si>
  <si>
    <t xml:space="preserve">overperformed cohort</t>
  </si>
  <si>
    <t xml:space="preserve">Regional — Americas</t>
  </si>
  <si>
    <t xml:space="preserve">Regional — EMEA</t>
  </si>
  <si>
    <t xml:space="preserve">Regional — Korea</t>
  </si>
  <si>
    <t xml:space="preserve">defending EWC champion</t>
  </si>
  <si>
    <t xml:space="preserve">MiTH</t>
  </si>
  <si>
    <t xml:space="preserve">topped the group stage on 119 pts, faded in finals</t>
  </si>
  <si>
    <t xml:space="preserve">17 Gaming</t>
  </si>
  <si>
    <t xml:space="preserve">Regional — Thailand</t>
  </si>
  <si>
    <t xml:space="preserve">Shadow Esports</t>
  </si>
  <si>
    <t xml:space="preserve">Regional — Rest of APAC</t>
  </si>
  <si>
    <t xml:space="preserve">DN SOOPers</t>
  </si>
  <si>
    <t xml:space="preserve">eliminated in the group stage</t>
  </si>
  <si>
    <t xml:space="preserve">Petrichor Road</t>
  </si>
  <si>
    <t xml:space="preserve">Regional — China</t>
  </si>
  <si>
    <t xml:space="preserve">3,050 club points awarded on the battle-royale curve, which stops at 8th. Prize money for 1st-4th only — see the note in block 3.</t>
  </si>
  <si>
    <t xml:space="preserve">5th</t>
  </si>
  <si>
    <t xml:space="preserve">6th</t>
  </si>
  <si>
    <t xml:space="preserve">7th</t>
  </si>
  <si>
    <t xml:space="preserve">8th</t>
  </si>
  <si>
    <t xml:space="preserve">SEED SOURCE AND WHY IT IS A COHORT. The methodology tab proposed method C (power ranking) for PUBG. There is no cross-comparable public power ranking for this field, so the seed instead comes from the qualification pathway KRAFTON published on 16 June 2026, five weeks before the event. That is a genuine pre-event artefact and it splits the field on exactly the axis that matters: the PGS Points seeds earned their slots on a single global ladder across PGS 1-6, where all 24 teams played the same six events, while the regional seeds earned theirs on regional PGC Points, which are not comparable between regions.</t>
  </si>
  <si>
    <t xml:space="preserve">THE RULE. High = the nine PGS Points seeds plus the title defender (Twisted Minds, who competed in the same PGS events and whose PGS slot passed down only because their EWC berth was already secured). Medium = the fourteen regional series seeds, two from each of Americas, China, EMEA, Korea, Rest of APAC, Thailand and Vietnam. Low is unused: nothing in this field qualified through a route weaker than a regional top two. To split the regional seeds further, the regional PGC Points tables give a #1 and #2 per region — worth adding if you want a third band.</t>
  </si>
  <si>
    <t xml:space="preserve">The engine is the same Plackett-Luce draw described on the Overwatch 2 tab: weights are relative odds, independent of how many teams sit in a cohort, and the order is sampled without replacement each run. For a battle royale the draw produces a full 1-24 order directly, which suits this title because the points curve runs to 8th rather than in bands.</t>
  </si>
  <si>
    <t xml:space="preserve">Sanity check from EWC26: the split was weak. High took 4 of the 8 scoring places from 10 entries (40%) against a 33% baseline, and three PGS-seeded teams did not even reach the Grand Finals. A TVI of 62 is doing most of the work here, which is the honest reading of a battle royale.</t>
  </si>
  <si>
    <t xml:space="preserve">Prize money is recorded only for 1st-4th; the published sources used do not break out prize for 5th-24th.</t>
  </si>
  <si>
    <t xml:space="preserve">MLBB Women's International (MWI) — EWC 2026</t>
  </si>
  <si>
    <t xml:space="preserve">Paris, 14-18 July. Rebranded from Women’s Invitational to Women’s International this year and now the world championship of the women’s circuit. 16 teams, two groups into an eight-team knockout.</t>
  </si>
  <si>
    <t xml:space="preserve">2 groups of 8 → knockout</t>
  </si>
  <si>
    <t xml:space="preserve">34 · Low</t>
  </si>
  <si>
    <t xml:space="preserve">D — cohort (proposed)</t>
  </si>
  <si>
    <t xml:space="preserve">Qualification route + prior MWI record</t>
  </si>
  <si>
    <t xml:space="preserve">Bands (5-8, 9-16)</t>
  </si>
  <si>
    <t xml:space="preserve">All 16 teams. Team Falcons field two entries (Falcons Vega and Falcons Vega MENA); the reconciliation takes the best per club, so only the higher one scores.</t>
  </si>
  <si>
    <t xml:space="preserve">Bigetron by Vitality roster; back-to-back MWI champion</t>
  </si>
  <si>
    <t xml:space="preserve">Athena Cup (PH)</t>
  </si>
  <si>
    <t xml:space="preserve">former Omega Empress roster</t>
  </si>
  <si>
    <t xml:space="preserve">Lady MVP (EU)</t>
  </si>
  <si>
    <t xml:space="preserve">only European team in the knockout; won the 3rd-place match 3-0</t>
  </si>
  <si>
    <t xml:space="preserve">Galaxy Phoenix</t>
  </si>
  <si>
    <t xml:space="preserve">Queen Legends</t>
  </si>
  <si>
    <t xml:space="preserve">canonical join to Galaxy Legends — confirm</t>
  </si>
  <si>
    <t xml:space="preserve">China Qualifier</t>
  </si>
  <si>
    <t xml:space="preserve">Team Rey Young</t>
  </si>
  <si>
    <t xml:space="preserve">MLBB Ladies Intl Invitational</t>
  </si>
  <si>
    <t xml:space="preserve">Falcons Vega</t>
  </si>
  <si>
    <t xml:space="preserve">Battle of Gamehers (ID)</t>
  </si>
  <si>
    <t xml:space="preserve">Falcons Vega MENA</t>
  </si>
  <si>
    <t xml:space="preserve">Africa Qualifier</t>
  </si>
  <si>
    <t xml:space="preserve">second Falcons entry — only the best scores</t>
  </si>
  <si>
    <t xml:space="preserve">NA Qualifier</t>
  </si>
  <si>
    <t xml:space="preserve">2025 runner-up roster (ex-Gaimin Gladiators)</t>
  </si>
  <si>
    <t xml:space="preserve">Geekay Esports FE</t>
  </si>
  <si>
    <t xml:space="preserve">MENA Qualifier</t>
  </si>
  <si>
    <t xml:space="preserve">Brazil Qualifier</t>
  </si>
  <si>
    <t xml:space="preserve">Twisted Minds VN</t>
  </si>
  <si>
    <t xml:space="preserve">Vietnam Qualifier</t>
  </si>
  <si>
    <t xml:space="preserve">Aurora Storm</t>
  </si>
  <si>
    <t xml:space="preserve">Mongolia Qualifier</t>
  </si>
  <si>
    <t xml:space="preserve">FUT Esports FE</t>
  </si>
  <si>
    <t xml:space="preserve">Türkiye Qualifier</t>
  </si>
  <si>
    <t xml:space="preserve">Virtus.pro MENA</t>
  </si>
  <si>
    <t xml:space="preserve">CIS Qualifier</t>
  </si>
  <si>
    <t xml:space="preserve">Falcon Daisies</t>
  </si>
  <si>
    <t xml:space="preserve">Japan Qualifier</t>
  </si>
  <si>
    <t xml:space="preserve">not a Team Falcons entry — confirm the canonical name</t>
  </si>
  <si>
    <t xml:space="preserve">3,350 club points on the standard playoff curve. Prize money is recorded for the scoring places only.</t>
  </si>
  <si>
    <t xml:space="preserve">SEED CONFIDENCE IS THE LOWEST IN THE WORKBOOK, and the tab should be read that way. The methodology tab proposed method C for this title and flagged thin public data; that flag was right. There is no cross-regional women's ranking and most of the sixteen qualified through single-elimination national or regional qualifiers whose results are not comparable with each other. A cohort is the honest ceiling of what the evidence supports.</t>
  </si>
  <si>
    <t xml:space="preserve">PROPOSED RULE — FOR YOUR APPROVAL, not yet agreed. High = organisations with a prior MWI final appearance or a win in the two circuits that have produced every MWI champion, Indonesia and the Philippines: Team Vitality (title defender, 2022, 2023, 2025), Natus Vincere (the roster that won 2024 as Omega Empress) and Falcons Vega (Battle of Gamehers runner-up). Medium = qualifiers from regions that have previously put a team into the MWI knockout stage. Low = first-time and expansion-region qualifiers. Every assignment is visible in column D and is a dropdown, so overrule any of them directly.</t>
  </si>
  <si>
    <t xml:space="preserve">The engine is the same Plackett-Luce draw as the other cohort tabs. Because seed confidence is low here and the weights below are deliberately flat, the simulated spread should come out wide — that is the model telling the truth about what we know, not a defect. If you want the spread wider still, raise the TVI rather than compressing the weights: the weights carry the seed, the TVI carries the volatility.</t>
  </si>
  <si>
    <t xml:space="preserve">Sanity check from EWC26: two of the three High teams made the final and the third finished 5th-8th, so the top band held. The Low band did not: Falcons Vega MENA reached 5th-8th, which is the assignment most worth revisiting.</t>
  </si>
  <si>
    <t xml:space="preserve">Placements 9-16 are recorded as one band. The eight group-stage exits score nothing, and the published sources used do not order them.</t>
  </si>
</sst>
</file>

<file path=xl/styles.xml><?xml version="1.0" encoding="utf-8"?>
<styleSheet xmlns="http://schemas.openxmlformats.org/spreadsheetml/2006/main">
  <numFmts count="13">
    <numFmt numFmtId="164" formatCode="General"/>
    <numFmt numFmtId="165" formatCode="#,##0;\(#,##0\);\-"/>
    <numFmt numFmtId="166" formatCode="\$#,##0;;\-"/>
    <numFmt numFmtId="167" formatCode="\+0;\-0;0"/>
    <numFmt numFmtId="168" formatCode="0.0"/>
    <numFmt numFmtId="169" formatCode="0.00"/>
    <numFmt numFmtId="170" formatCode="\$#,##0"/>
    <numFmt numFmtId="171" formatCode="0%"/>
    <numFmt numFmtId="172" formatCode="0.0%"/>
    <numFmt numFmtId="173" formatCode="#,##0.0"/>
    <numFmt numFmtId="174" formatCode="0.00\x"/>
    <numFmt numFmtId="175" formatCode="#,##0;\(#,##0\);\-"/>
    <numFmt numFmtId="176" formatCode="\+#,##0;\-#,##0;0"/>
  </numFmts>
  <fonts count="41">
    <font>
      <sz val="11"/>
      <color theme="1"/>
      <name val="Calibri"/>
      <family val="2"/>
      <charset val="1"/>
    </font>
    <font>
      <sz val="10"/>
      <name val="Arial"/>
      <family val="0"/>
    </font>
    <font>
      <sz val="10"/>
      <name val="Arial"/>
      <family val="0"/>
    </font>
    <font>
      <sz val="10"/>
      <name val="Arial"/>
      <family val="0"/>
    </font>
    <font>
      <b val="true"/>
      <sz val="15"/>
      <color rgb="FF14181F"/>
      <name val="Arial"/>
      <family val="0"/>
      <charset val="1"/>
    </font>
    <font>
      <sz val="9"/>
      <name val="Arial"/>
      <family val="0"/>
      <charset val="1"/>
    </font>
    <font>
      <b val="true"/>
      <sz val="10"/>
      <color rgb="FFFFFFFF"/>
      <name val="Arial"/>
      <family val="0"/>
      <charset val="1"/>
    </font>
    <font>
      <b val="true"/>
      <sz val="10"/>
      <name val="Arial"/>
      <family val="0"/>
      <charset val="1"/>
    </font>
    <font>
      <b val="true"/>
      <sz val="11"/>
      <color rgb="FF1B7F4B"/>
      <name val="Arial"/>
      <family val="0"/>
      <charset val="1"/>
    </font>
    <font>
      <b val="true"/>
      <sz val="11"/>
      <color rgb="FF8A6D1F"/>
      <name val="Arial"/>
      <family val="0"/>
      <charset val="1"/>
    </font>
    <font>
      <b val="true"/>
      <sz val="11"/>
      <color rgb="FFB45309"/>
      <name val="Arial"/>
      <family val="0"/>
      <charset val="1"/>
    </font>
    <font>
      <b val="true"/>
      <sz val="11"/>
      <color rgb="FFB4283C"/>
      <name val="Arial"/>
      <family val="0"/>
      <charset val="1"/>
    </font>
    <font>
      <b val="true"/>
      <sz val="11"/>
      <color rgb="FFFF5900"/>
      <name val="Arial"/>
      <family val="0"/>
      <charset val="1"/>
    </font>
    <font>
      <b val="true"/>
      <sz val="11"/>
      <name val="Arial"/>
      <family val="0"/>
      <charset val="1"/>
    </font>
    <font>
      <sz val="11"/>
      <color rgb="FF0000FF"/>
      <name val="Arial"/>
      <family val="0"/>
      <charset val="1"/>
    </font>
    <font>
      <sz val="8"/>
      <color rgb="FF7A828F"/>
      <name val="Arial"/>
      <family val="0"/>
      <charset val="1"/>
    </font>
    <font>
      <sz val="11"/>
      <name val="Arial"/>
      <family val="0"/>
      <charset val="1"/>
    </font>
    <font>
      <i val="true"/>
      <sz val="8"/>
      <color rgb="FF7A828F"/>
      <name val="Arial"/>
      <family val="0"/>
      <charset val="1"/>
    </font>
    <font>
      <b val="true"/>
      <sz val="9.5"/>
      <name val="Arial"/>
      <family val="0"/>
      <charset val="1"/>
    </font>
    <font>
      <sz val="9"/>
      <color rgb="FF7A828F"/>
      <name val="Arial"/>
      <family val="0"/>
      <charset val="1"/>
    </font>
    <font>
      <sz val="9.5"/>
      <name val="Arial"/>
      <family val="0"/>
      <charset val="1"/>
    </font>
    <font>
      <sz val="11"/>
      <color rgb="FF000000"/>
      <name val="Arial"/>
      <family val="0"/>
      <charset val="1"/>
    </font>
    <font>
      <sz val="11"/>
      <name val="Cambria"/>
      <family val="0"/>
      <charset val="1"/>
    </font>
    <font>
      <sz val="8"/>
      <color rgb="FF9AA1AC"/>
      <name val="Arial"/>
      <family val="0"/>
      <charset val="1"/>
    </font>
    <font>
      <sz val="8"/>
      <color rgb="FFB45309"/>
      <name val="Arial"/>
      <family val="0"/>
      <charset val="1"/>
    </font>
    <font>
      <sz val="8"/>
      <color rgb="FFFF5900"/>
      <name val="Arial"/>
      <family val="0"/>
      <charset val="1"/>
    </font>
    <font>
      <i val="true"/>
      <sz val="8"/>
      <color rgb="FF1B7F4B"/>
      <name val="Arial"/>
      <family val="0"/>
      <charset val="1"/>
    </font>
    <font>
      <b val="true"/>
      <sz val="9"/>
      <name val="Arial"/>
      <family val="0"/>
      <charset val="1"/>
    </font>
    <font>
      <i val="true"/>
      <sz val="8"/>
      <color rgb="FFB45309"/>
      <name val="Arial"/>
      <family val="0"/>
      <charset val="1"/>
    </font>
    <font>
      <b val="true"/>
      <sz val="11"/>
      <color rgb="FF7A828F"/>
      <name val="Arial"/>
      <family val="0"/>
      <charset val="1"/>
    </font>
    <font>
      <sz val="9"/>
      <color rgb="FFB45309"/>
      <name val="Arial"/>
      <family val="0"/>
      <charset val="1"/>
    </font>
    <font>
      <i val="true"/>
      <sz val="8"/>
      <color rgb="FF0000FF"/>
      <name val="Arial"/>
      <family val="0"/>
      <charset val="1"/>
    </font>
    <font>
      <sz val="9.5"/>
      <color rgb="FF000000"/>
      <name val="Arial"/>
      <family val="0"/>
      <charset val="1"/>
    </font>
    <font>
      <sz val="9.5"/>
      <color rgb="FFB45309"/>
      <name val="Arial"/>
      <family val="0"/>
      <charset val="1"/>
    </font>
    <font>
      <sz val="9"/>
      <color rgb="FF1B7F4B"/>
      <name val="Arial"/>
      <family val="0"/>
      <charset val="1"/>
    </font>
    <font>
      <sz val="8"/>
      <color rgb="FFC9CED6"/>
      <name val="Arial"/>
      <family val="0"/>
      <charset val="1"/>
    </font>
    <font>
      <sz val="8"/>
      <color rgb="FF1B7F4B"/>
      <name val="Arial"/>
      <family val="0"/>
      <charset val="1"/>
    </font>
    <font>
      <b val="true"/>
      <sz val="8"/>
      <color rgb="FFB4283C"/>
      <name val="Arial"/>
      <family val="0"/>
      <charset val="1"/>
    </font>
    <font>
      <sz val="8"/>
      <color rgb="FFB4283C"/>
      <name val="Arial"/>
      <family val="0"/>
      <charset val="1"/>
    </font>
    <font>
      <sz val="9"/>
      <color rgb="FFFF5900"/>
      <name val="Arial"/>
      <family val="0"/>
      <charset val="1"/>
    </font>
    <font>
      <b val="true"/>
      <sz val="11"/>
      <color rgb="FF000000"/>
      <name val="Arial"/>
      <family val="0"/>
      <charset val="1"/>
    </font>
  </fonts>
  <fills count="11">
    <fill>
      <patternFill patternType="none"/>
    </fill>
    <fill>
      <patternFill patternType="gray125"/>
    </fill>
    <fill>
      <patternFill patternType="solid">
        <fgColor rgb="FF14181F"/>
        <bgColor rgb="FF000000"/>
      </patternFill>
    </fill>
    <fill>
      <patternFill patternType="solid">
        <fgColor rgb="FFF6E3A1"/>
        <bgColor rgb="FFEDD9C4"/>
      </patternFill>
    </fill>
    <fill>
      <patternFill patternType="solid">
        <fgColor rgb="FFE4E7EB"/>
        <bgColor rgb="FFEDEFF2"/>
      </patternFill>
    </fill>
    <fill>
      <patternFill patternType="solid">
        <fgColor rgb="FFEDD9C4"/>
        <bgColor rgb="FFFBE0E3"/>
      </patternFill>
    </fill>
    <fill>
      <patternFill patternType="solid">
        <fgColor rgb="FFFBF3D7"/>
        <bgColor rgb="FFFBF0D2"/>
      </patternFill>
    </fill>
    <fill>
      <patternFill patternType="solid">
        <fgColor rgb="FFD9F2E4"/>
        <bgColor rgb="FFE4E7EB"/>
      </patternFill>
    </fill>
    <fill>
      <patternFill patternType="solid">
        <fgColor rgb="FFFBF0D2"/>
        <bgColor rgb="FFFBF3D7"/>
      </patternFill>
    </fill>
    <fill>
      <patternFill patternType="solid">
        <fgColor rgb="FFFBE0E3"/>
        <bgColor rgb="FFFBF0D2"/>
      </patternFill>
    </fill>
    <fill>
      <patternFill patternType="solid">
        <fgColor rgb="FFEDEFF2"/>
        <bgColor rgb="FFE4E7EB"/>
      </patternFill>
    </fill>
  </fills>
  <borders count="2">
    <border diagonalUp="false" diagonalDown="false">
      <left/>
      <right/>
      <top/>
      <bottom/>
      <diagonal/>
    </border>
    <border diagonalUp="false" diagonalDown="false">
      <left style="thin">
        <color rgb="FFC9CED6"/>
      </left>
      <right style="thin">
        <color rgb="FFC9CED6"/>
      </right>
      <top style="thin">
        <color rgb="FFC9CED6"/>
      </top>
      <bottom style="thin">
        <color rgb="FFC9CE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true">
      <alignment horizontal="center" vertical="bottom" textRotation="0" wrapText="false" indent="0" shrinkToFit="false"/>
      <protection locked="fals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true">
      <alignment horizontal="general" vertical="bottom" textRotation="0" wrapText="false" indent="0" shrinkToFit="false"/>
      <protection locked="false" hidden="false"/>
    </xf>
    <xf numFmtId="164" fontId="18" fillId="0" borderId="1" xfId="0" applyFont="true" applyBorder="true" applyAlignment="true" applyProtection="true">
      <alignment horizontal="general" vertical="bottom" textRotation="0" wrapText="false" indent="0" shrinkToFit="false"/>
      <protection locked="false" hidden="false"/>
    </xf>
    <xf numFmtId="164" fontId="0" fillId="0" borderId="1" xfId="0" applyFont="false" applyBorder="true" applyAlignment="true" applyProtection="true">
      <alignment horizontal="center" vertical="bottom" textRotation="0" wrapText="false" indent="0" shrinkToFit="false"/>
      <protection locked="false" hidden="false"/>
    </xf>
    <xf numFmtId="164" fontId="19" fillId="0" borderId="1" xfId="0" applyFont="true" applyBorder="true" applyAlignment="true" applyProtection="true">
      <alignment horizontal="center" vertical="bottom" textRotation="0" wrapText="false" indent="0" shrinkToFit="false"/>
      <protection locked="false" hidden="false"/>
    </xf>
    <xf numFmtId="165" fontId="0" fillId="0" borderId="1" xfId="0" applyFont="false" applyBorder="true" applyAlignment="true" applyProtection="true">
      <alignment horizontal="center" vertical="bottom" textRotation="0" wrapText="false" indent="0" shrinkToFit="false"/>
      <protection locked="false" hidden="false"/>
    </xf>
    <xf numFmtId="164" fontId="20" fillId="0" borderId="1" xfId="0" applyFont="true" applyBorder="true" applyAlignment="tru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4" fontId="17" fillId="0" borderId="0" xfId="0" applyFont="true" applyBorder="false" applyAlignment="true" applyProtection="true">
      <alignment horizontal="general" vertical="bottom" textRotation="0" wrapText="false" indent="0" shrinkToFit="false"/>
      <protection locked="fals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8" fillId="3" borderId="1" xfId="0" applyFont="true" applyBorder="true" applyAlignment="tru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center" vertical="bottom" textRotation="0" wrapText="false" indent="0" shrinkToFit="false"/>
      <protection locked="true" hidden="false"/>
    </xf>
    <xf numFmtId="164" fontId="19" fillId="3" borderId="1" xfId="0" applyFont="true" applyBorder="true" applyAlignment="true" applyProtection="false">
      <alignment horizontal="center" vertical="bottom" textRotation="0" wrapText="false" indent="0" shrinkToFit="false"/>
      <protection locked="true" hidden="false"/>
    </xf>
    <xf numFmtId="164" fontId="13" fillId="3" borderId="1" xfId="0" applyFont="true" applyBorder="true" applyAlignment="true" applyProtection="true">
      <alignment horizontal="center" vertical="bottom" textRotation="0" wrapText="false" indent="0" shrinkToFit="false"/>
      <protection locked="false" hidden="false"/>
    </xf>
    <xf numFmtId="165" fontId="21" fillId="3" borderId="1" xfId="0" applyFont="true" applyBorder="true" applyAlignment="true" applyProtection="false">
      <alignment horizontal="center" vertical="bottom" textRotation="0" wrapText="false" indent="0" shrinkToFit="false"/>
      <protection locked="true" hidden="false"/>
    </xf>
    <xf numFmtId="165" fontId="19" fillId="3" borderId="1" xfId="0" applyFont="true" applyBorder="true" applyAlignment="true" applyProtection="false">
      <alignment horizontal="center" vertical="bottom" textRotation="0" wrapText="false" indent="0" shrinkToFit="false"/>
      <protection locked="true" hidden="false"/>
    </xf>
    <xf numFmtId="164" fontId="21" fillId="3" borderId="1" xfId="0" applyFont="true" applyBorder="true" applyAlignment="true" applyProtection="false">
      <alignment horizontal="center" vertical="bottom" textRotation="0" wrapText="false" indent="0" shrinkToFit="false"/>
      <protection locked="true" hidden="false"/>
    </xf>
    <xf numFmtId="166" fontId="19" fillId="3" borderId="1" xfId="0" applyFont="true" applyBorder="true" applyAlignment="true" applyProtection="false">
      <alignment horizontal="center" vertical="bottom" textRotation="0" wrapText="false" indent="0" shrinkToFit="false"/>
      <protection locked="true" hidden="false"/>
    </xf>
    <xf numFmtId="164" fontId="22" fillId="3" borderId="1" xfId="0" applyFont="true" applyBorder="true" applyAlignment="tru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center" vertical="bottom" textRotation="0" wrapText="false" indent="0" shrinkToFit="false"/>
      <protection locked="true" hidden="false"/>
    </xf>
    <xf numFmtId="164" fontId="18" fillId="4" borderId="1" xfId="0" applyFont="true" applyBorder="true" applyAlignment="tru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center" vertical="bottom" textRotation="0" wrapText="false" indent="0" shrinkToFit="false"/>
      <protection locked="true" hidden="false"/>
    </xf>
    <xf numFmtId="164" fontId="19" fillId="4" borderId="1" xfId="0" applyFont="true" applyBorder="true" applyAlignment="true" applyProtection="false">
      <alignment horizontal="center" vertical="bottom" textRotation="0" wrapText="false" indent="0" shrinkToFit="false"/>
      <protection locked="true" hidden="false"/>
    </xf>
    <xf numFmtId="164" fontId="13" fillId="4" borderId="1" xfId="0" applyFont="true" applyBorder="true" applyAlignment="true" applyProtection="true">
      <alignment horizontal="center" vertical="bottom" textRotation="0" wrapText="false" indent="0" shrinkToFit="false"/>
      <protection locked="false" hidden="false"/>
    </xf>
    <xf numFmtId="165" fontId="21" fillId="4" borderId="1" xfId="0" applyFont="true" applyBorder="true" applyAlignment="true" applyProtection="false">
      <alignment horizontal="center" vertical="bottom" textRotation="0" wrapText="false" indent="0" shrinkToFit="false"/>
      <protection locked="true" hidden="false"/>
    </xf>
    <xf numFmtId="165" fontId="19" fillId="4" borderId="1" xfId="0" applyFont="true" applyBorder="true" applyAlignment="true" applyProtection="false">
      <alignment horizontal="center" vertical="bottom" textRotation="0" wrapText="false" indent="0" shrinkToFit="false"/>
      <protection locked="true" hidden="false"/>
    </xf>
    <xf numFmtId="164" fontId="21" fillId="4" borderId="1" xfId="0" applyFont="true" applyBorder="true" applyAlignment="true" applyProtection="false">
      <alignment horizontal="center" vertical="bottom" textRotation="0" wrapText="false" indent="0" shrinkToFit="false"/>
      <protection locked="true" hidden="false"/>
    </xf>
    <xf numFmtId="166" fontId="19" fillId="4" borderId="1" xfId="0" applyFont="true" applyBorder="true" applyAlignment="true" applyProtection="false">
      <alignment horizontal="center" vertical="bottom" textRotation="0" wrapText="false" indent="0" shrinkToFit="false"/>
      <protection locked="true" hidden="false"/>
    </xf>
    <xf numFmtId="164" fontId="22" fillId="4" borderId="1" xfId="0" applyFont="true" applyBorder="tru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center" vertical="bottom" textRotation="0" wrapText="false" indent="0" shrinkToFit="false"/>
      <protection locked="true" hidden="false"/>
    </xf>
    <xf numFmtId="164" fontId="19" fillId="5" borderId="1" xfId="0" applyFont="true" applyBorder="true" applyAlignment="true" applyProtection="false">
      <alignment horizontal="center" vertical="bottom" textRotation="0" wrapText="false" indent="0" shrinkToFit="false"/>
      <protection locked="true" hidden="false"/>
    </xf>
    <xf numFmtId="164" fontId="13" fillId="5" borderId="1" xfId="0" applyFont="true" applyBorder="true" applyAlignment="true" applyProtection="true">
      <alignment horizontal="center" vertical="bottom" textRotation="0" wrapText="false" indent="0" shrinkToFit="false"/>
      <protection locked="false" hidden="false"/>
    </xf>
    <xf numFmtId="165" fontId="21" fillId="5" borderId="1" xfId="0" applyFont="true" applyBorder="true" applyAlignment="true" applyProtection="false">
      <alignment horizontal="center" vertical="bottom" textRotation="0" wrapText="false" indent="0" shrinkToFit="false"/>
      <protection locked="true" hidden="false"/>
    </xf>
    <xf numFmtId="165" fontId="19" fillId="5" borderId="1" xfId="0" applyFont="true" applyBorder="true" applyAlignment="true" applyProtection="false">
      <alignment horizontal="center" vertical="bottom" textRotation="0" wrapText="false" indent="0" shrinkToFit="false"/>
      <protection locked="true" hidden="false"/>
    </xf>
    <xf numFmtId="164" fontId="21" fillId="5" borderId="1" xfId="0" applyFont="true" applyBorder="true" applyAlignment="true" applyProtection="false">
      <alignment horizontal="center" vertical="bottom" textRotation="0" wrapText="false" indent="0" shrinkToFit="false"/>
      <protection locked="true" hidden="false"/>
    </xf>
    <xf numFmtId="166" fontId="19" fillId="5" borderId="1" xfId="0" applyFont="true" applyBorder="true" applyAlignment="true" applyProtection="false">
      <alignment horizontal="center" vertical="bottom" textRotation="0" wrapText="false" indent="0" shrinkToFit="false"/>
      <protection locked="true" hidden="false"/>
    </xf>
    <xf numFmtId="164" fontId="22" fillId="5" borderId="1" xfId="0" applyFont="true" applyBorder="true" applyAlignment="true" applyProtection="false">
      <alignment horizontal="general" vertical="bottom" textRotation="0" wrapText="false" indent="0" shrinkToFit="false"/>
      <protection locked="true" hidden="false"/>
    </xf>
    <xf numFmtId="164" fontId="18" fillId="6" borderId="1" xfId="0" applyFont="true" applyBorder="true" applyAlignment="true" applyProtection="false">
      <alignment horizontal="general" vertical="bottom" textRotation="0" wrapText="false" indent="0" shrinkToFit="false"/>
      <protection locked="true" hidden="false"/>
    </xf>
    <xf numFmtId="164" fontId="13"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3" fillId="6" borderId="1" xfId="0" applyFont="true" applyBorder="true" applyAlignment="true" applyProtection="true">
      <alignment horizontal="center" vertical="bottom" textRotation="0" wrapText="false" indent="0" shrinkToFit="false"/>
      <protection locked="false" hidden="false"/>
    </xf>
    <xf numFmtId="165" fontId="21" fillId="6" borderId="1" xfId="0" applyFont="true" applyBorder="true" applyAlignment="true" applyProtection="false">
      <alignment horizontal="center" vertical="bottom" textRotation="0" wrapText="false" indent="0" shrinkToFit="false"/>
      <protection locked="true" hidden="false"/>
    </xf>
    <xf numFmtId="165" fontId="19" fillId="6" borderId="1" xfId="0" applyFont="true" applyBorder="true" applyAlignment="true" applyProtection="false">
      <alignment horizontal="center" vertical="bottom" textRotation="0" wrapText="false" indent="0" shrinkToFit="false"/>
      <protection locked="true" hidden="false"/>
    </xf>
    <xf numFmtId="164" fontId="21" fillId="6" borderId="1" xfId="0" applyFont="true" applyBorder="true" applyAlignment="true" applyProtection="fals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22" fillId="6" borderId="1" xfId="0" applyFont="true" applyBorder="true" applyAlignment="tru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true">
      <alignment horizontal="center" vertical="bottom" textRotation="0" wrapText="false" indent="0" shrinkToFit="false"/>
      <protection locked="false" hidden="false"/>
    </xf>
    <xf numFmtId="165" fontId="21" fillId="0" borderId="1" xfId="0" applyFont="true" applyBorder="true" applyAlignment="true" applyProtection="false">
      <alignment horizontal="center" vertical="bottom" textRotation="0" wrapText="false" indent="0" shrinkToFit="false"/>
      <protection locked="true" hidden="false"/>
    </xf>
    <xf numFmtId="165" fontId="19" fillId="0" borderId="1" xfId="0" applyFont="true" applyBorder="true" applyAlignment="true" applyProtection="false">
      <alignment horizontal="center" vertical="bottom" textRotation="0" wrapText="false" indent="0" shrinkToFit="false"/>
      <protection locked="true" hidden="false"/>
    </xf>
    <xf numFmtId="164" fontId="21" fillId="0" borderId="1" xfId="0" applyFont="true" applyBorder="true" applyAlignment="true" applyProtection="false">
      <alignment horizontal="center" vertical="bottom" textRotation="0" wrapText="false" indent="0" shrinkToFit="false"/>
      <protection locked="true" hidden="false"/>
    </xf>
    <xf numFmtId="166" fontId="19"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general" vertical="bottom" textRotation="0" wrapText="false" indent="0" shrinkToFit="false"/>
      <protection locked="true" hidden="false"/>
    </xf>
    <xf numFmtId="164" fontId="22" fillId="0" borderId="1" xfId="0" applyFont="true" applyBorder="true" applyAlignment="true" applyProtection="false">
      <alignment horizontal="general" vertical="bottom" textRotation="0" wrapText="false" indent="0" shrinkToFit="false"/>
      <protection locked="true" hidden="false"/>
    </xf>
    <xf numFmtId="164" fontId="25" fillId="0" borderId="1" xfId="0" applyFont="true" applyBorder="true" applyAlignment="true" applyProtection="false">
      <alignment horizontal="center" vertical="bottom" textRotation="0" wrapText="false" indent="0" shrinkToFit="false"/>
      <protection locked="true" hidden="false"/>
    </xf>
    <xf numFmtId="165" fontId="13" fillId="0"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5" fontId="14" fillId="0" borderId="1" xfId="0" applyFont="true" applyBorder="true" applyAlignment="true" applyProtection="true">
      <alignment horizontal="center" vertical="bottom" textRotation="0" wrapText="false" indent="0" shrinkToFit="false"/>
      <protection locked="false" hidden="false"/>
    </xf>
    <xf numFmtId="164" fontId="19" fillId="0" borderId="1" xfId="0" applyFont="true" applyBorder="true" applyAlignment="tru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7" fontId="19" fillId="0" borderId="1" xfId="0" applyFont="true" applyBorder="true" applyAlignment="true" applyProtection="false">
      <alignment horizontal="center" vertical="bottom" textRotation="0" wrapText="false" indent="0" shrinkToFit="false"/>
      <protection locked="true" hidden="false"/>
    </xf>
    <xf numFmtId="164" fontId="20" fillId="3" borderId="1" xfId="0" applyFont="true" applyBorder="true" applyAlignment="true" applyProtection="false">
      <alignment horizontal="general" vertical="bottom" textRotation="0" wrapText="false" indent="0" shrinkToFit="false"/>
      <protection locked="true" hidden="false"/>
    </xf>
    <xf numFmtId="164" fontId="15" fillId="3" borderId="1" xfId="0" applyFont="true" applyBorder="true" applyAlignment="true" applyProtection="false">
      <alignment horizontal="general" vertical="bottom" textRotation="0" wrapText="false" indent="0" shrinkToFit="false"/>
      <protection locked="true" hidden="false"/>
    </xf>
    <xf numFmtId="164" fontId="20" fillId="4" borderId="1" xfId="0" applyFont="true" applyBorder="true" applyAlignment="tru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general" vertical="bottom" textRotation="0" wrapText="false" indent="0" shrinkToFit="false"/>
      <protection locked="true" hidden="false"/>
    </xf>
    <xf numFmtId="164" fontId="2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4" fontId="20" fillId="6" borderId="1" xfId="0" applyFont="true" applyBorder="tru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7" fontId="29" fillId="0" borderId="1" xfId="0" applyFont="true" applyBorder="true" applyAlignment="true" applyProtection="false">
      <alignment horizontal="center" vertical="bottom" textRotation="0" wrapText="false" indent="0" shrinkToFit="false"/>
      <protection locked="true" hidden="false"/>
    </xf>
    <xf numFmtId="167" fontId="11" fillId="0"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4" fontId="14" fillId="3" borderId="1" xfId="0" applyFont="true" applyBorder="true" applyAlignment="true" applyProtection="true">
      <alignment horizontal="center" vertical="bottom" textRotation="0" wrapText="false" indent="0" shrinkToFit="false"/>
      <protection locked="false" hidden="false"/>
    </xf>
    <xf numFmtId="164" fontId="14" fillId="7" borderId="1" xfId="0" applyFont="true" applyBorder="true" applyAlignment="true" applyProtection="true">
      <alignment horizontal="center" vertical="bottom" textRotation="0" wrapText="false" indent="0" shrinkToFit="false"/>
      <protection locked="fals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14" fillId="4" borderId="1" xfId="0" applyFont="true" applyBorder="true" applyAlignment="true" applyProtection="true">
      <alignment horizontal="center" vertical="bottom" textRotation="0" wrapText="false" indent="0" shrinkToFit="false"/>
      <protection locked="false" hidden="false"/>
    </xf>
    <xf numFmtId="164" fontId="14" fillId="8" borderId="1" xfId="0" applyFont="true" applyBorder="true" applyAlignment="true" applyProtection="true">
      <alignment horizontal="center" vertical="bottom" textRotation="0" wrapText="false" indent="0" shrinkToFit="false"/>
      <protection locked="fals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14" fillId="5" borderId="1" xfId="0" applyFont="true" applyBorder="true" applyAlignment="true" applyProtection="true">
      <alignment horizontal="center" vertical="bottom" textRotation="0" wrapText="false" indent="0" shrinkToFit="false"/>
      <protection locked="fals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14" fillId="6" borderId="1" xfId="0" applyFont="true" applyBorder="true" applyAlignment="true" applyProtection="true">
      <alignment horizontal="center" vertical="bottom" textRotation="0" wrapText="false" indent="0" shrinkToFit="false"/>
      <protection locked="fals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4" fillId="9" borderId="1" xfId="0" applyFont="true" applyBorder="true" applyAlignment="true" applyProtection="true">
      <alignment horizontal="center" vertical="bottom" textRotation="0" wrapText="false" indent="0" shrinkToFit="false"/>
      <protection locked="false" hidden="false"/>
    </xf>
    <xf numFmtId="164" fontId="13" fillId="7" borderId="1" xfId="0" applyFont="true" applyBorder="true" applyAlignment="tru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9" fontId="0" fillId="0" borderId="1" xfId="0" applyFont="false" applyBorder="true" applyAlignment="true" applyProtection="false">
      <alignment horizontal="center" vertical="bottom" textRotation="0" wrapText="false" indent="0" shrinkToFit="false"/>
      <protection locked="true" hidden="false"/>
    </xf>
    <xf numFmtId="164" fontId="13" fillId="8" borderId="1" xfId="0" applyFont="true" applyBorder="true" applyAlignment="true" applyProtection="false">
      <alignment horizontal="general" vertical="bottom" textRotation="0" wrapText="false" indent="0" shrinkToFit="false"/>
      <protection locked="true" hidden="false"/>
    </xf>
    <xf numFmtId="164" fontId="13" fillId="9" borderId="1"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32" fillId="3" borderId="1" xfId="0" applyFont="true" applyBorder="true" applyAlignment="true" applyProtection="false">
      <alignment horizontal="general" vertical="bottom" textRotation="0" wrapText="false" indent="0" shrinkToFit="false"/>
      <protection locked="true" hidden="false"/>
    </xf>
    <xf numFmtId="164" fontId="33" fillId="4" borderId="1" xfId="0" applyFont="true" applyBorder="true" applyAlignment="true" applyProtection="false">
      <alignment horizontal="general" vertical="bottom" textRotation="0" wrapText="false" indent="0" shrinkToFit="false"/>
      <protection locked="true" hidden="false"/>
    </xf>
    <xf numFmtId="164" fontId="32" fillId="5" borderId="1" xfId="0" applyFont="true" applyBorder="true" applyAlignment="true" applyProtection="false">
      <alignment horizontal="general" vertical="bottom" textRotation="0" wrapText="false" indent="0" shrinkToFit="false"/>
      <protection locked="true" hidden="false"/>
    </xf>
    <xf numFmtId="164" fontId="32" fillId="6" borderId="1" xfId="0" applyFont="true" applyBorder="true" applyAlignment="true" applyProtection="false">
      <alignment horizontal="general" vertical="bottom" textRotation="0" wrapText="false" indent="0" shrinkToFit="false"/>
      <protection locked="true" hidden="false"/>
    </xf>
    <xf numFmtId="164" fontId="32" fillId="0" borderId="1" xfId="0" applyFont="true" applyBorder="true" applyAlignment="true" applyProtection="false">
      <alignment horizontal="general" vertical="bottom" textRotation="0" wrapText="false" indent="0" shrinkToFit="false"/>
      <protection locked="true" hidden="false"/>
    </xf>
    <xf numFmtId="164" fontId="33" fillId="0" borderId="1" xfId="0" applyFont="true" applyBorder="true" applyAlignment="true" applyProtection="false">
      <alignment horizontal="general" vertical="bottom" textRotation="0" wrapText="false" indent="0" shrinkToFit="false"/>
      <protection locked="true" hidden="false"/>
    </xf>
    <xf numFmtId="164" fontId="32" fillId="4" borderId="1" xfId="0" applyFont="true" applyBorder="true" applyAlignment="true" applyProtection="false">
      <alignment horizontal="general" vertical="bottom" textRotation="0" wrapText="false" indent="0" shrinkToFit="false"/>
      <protection locked="true" hidden="false"/>
    </xf>
    <xf numFmtId="164" fontId="19" fillId="3" borderId="1" xfId="0" applyFont="true" applyBorder="true" applyAlignment="true" applyProtection="false">
      <alignment horizontal="general" vertical="bottom" textRotation="0" wrapText="false" indent="0" shrinkToFit="false"/>
      <protection locked="true" hidden="false"/>
    </xf>
    <xf numFmtId="164" fontId="19" fillId="4" borderId="1" xfId="0" applyFont="true" applyBorder="true" applyAlignment="true" applyProtection="false">
      <alignment horizontal="general" vertical="bottom" textRotation="0" wrapText="false" indent="0" shrinkToFit="false"/>
      <protection locked="true" hidden="false"/>
    </xf>
    <xf numFmtId="164" fontId="19" fillId="5" borderId="1" xfId="0" applyFont="true" applyBorder="true" applyAlignment="true" applyProtection="false">
      <alignment horizontal="general" vertical="bottom" textRotation="0" wrapText="false" indent="0" shrinkToFit="false"/>
      <protection locked="true" hidden="false"/>
    </xf>
    <xf numFmtId="164" fontId="19" fillId="6" borderId="1" xfId="0" applyFont="true" applyBorder="true" applyAlignment="true" applyProtection="false">
      <alignment horizontal="general" vertical="bottom" textRotation="0" wrapText="false" indent="0" shrinkToFit="false"/>
      <protection locked="true" hidden="false"/>
    </xf>
    <xf numFmtId="164" fontId="30" fillId="6" borderId="1" xfId="0" applyFont="true" applyBorder="true" applyAlignment="true" applyProtection="false">
      <alignment horizontal="center" vertical="bottom" textRotation="0" wrapText="false" indent="0" shrinkToFit="false"/>
      <protection locked="true" hidden="false"/>
    </xf>
    <xf numFmtId="164" fontId="24" fillId="6" borderId="1" xfId="0" applyFont="tru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34" fillId="0" borderId="1" xfId="0" applyFont="true" applyBorder="true" applyAlignment="true" applyProtection="false">
      <alignment horizontal="center" vertical="bottom" textRotation="0" wrapText="false" indent="0" shrinkToFit="false"/>
      <protection locked="true" hidden="false"/>
    </xf>
    <xf numFmtId="164" fontId="24" fillId="3" borderId="1" xfId="0" applyFont="true" applyBorder="true" applyAlignment="true" applyProtection="false">
      <alignment horizontal="general" vertical="bottom" textRotation="0" wrapText="false" indent="0" shrinkToFit="false"/>
      <protection locked="true" hidden="false"/>
    </xf>
    <xf numFmtId="164" fontId="24" fillId="4" borderId="1" xfId="0" applyFont="true" applyBorder="true" applyAlignment="true" applyProtection="false">
      <alignment horizontal="general" vertical="bottom" textRotation="0" wrapText="false" indent="0" shrinkToFit="false"/>
      <protection locked="true" hidden="false"/>
    </xf>
    <xf numFmtId="164" fontId="33" fillId="5" borderId="1" xfId="0" applyFont="true" applyBorder="true" applyAlignment="true" applyProtection="false">
      <alignment horizontal="general" vertical="bottom" textRotation="0" wrapText="false" indent="0" shrinkToFit="false"/>
      <protection locked="true" hidden="false"/>
    </xf>
    <xf numFmtId="164" fontId="24" fillId="5" borderId="1" xfId="0" applyFont="true" applyBorder="true" applyAlignment="true" applyProtection="false">
      <alignment horizontal="general" vertical="bottom" textRotation="0" wrapText="false" indent="0" shrinkToFit="false"/>
      <protection locked="true" hidden="false"/>
    </xf>
    <xf numFmtId="164" fontId="35" fillId="10" borderId="1" xfId="0" applyFont="true" applyBorder="true" applyAlignment="true" applyProtection="false">
      <alignment horizontal="center" vertical="bottom" textRotation="0" wrapText="false" indent="0" shrinkToFit="false"/>
      <protection locked="true" hidden="false"/>
    </xf>
    <xf numFmtId="170" fontId="19" fillId="3" borderId="1" xfId="0" applyFont="true" applyBorder="true" applyAlignment="true" applyProtection="false">
      <alignment horizontal="center" vertical="bottom" textRotation="0" wrapText="false" indent="0" shrinkToFit="false"/>
      <protection locked="true" hidden="false"/>
    </xf>
    <xf numFmtId="164" fontId="36" fillId="3" borderId="1" xfId="0" applyFont="true" applyBorder="true" applyAlignment="true" applyProtection="false">
      <alignment horizontal="general" vertical="bottom" textRotation="0" wrapText="false" indent="0" shrinkToFit="false"/>
      <protection locked="true" hidden="false"/>
    </xf>
    <xf numFmtId="170" fontId="19" fillId="4" borderId="1" xfId="0" applyFont="true" applyBorder="true" applyAlignment="true" applyProtection="false">
      <alignment horizontal="center" vertical="bottom" textRotation="0" wrapText="false" indent="0" shrinkToFit="false"/>
      <protection locked="true" hidden="false"/>
    </xf>
    <xf numFmtId="170" fontId="19" fillId="5" borderId="1" xfId="0" applyFont="true" applyBorder="true" applyAlignment="true" applyProtection="false">
      <alignment horizontal="center" vertical="bottom" textRotation="0" wrapText="false" indent="0" shrinkToFit="false"/>
      <protection locked="true" hidden="false"/>
    </xf>
    <xf numFmtId="164" fontId="36" fillId="5" borderId="1" xfId="0" applyFont="true" applyBorder="true" applyAlignment="tru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general" vertical="bottom" textRotation="0" wrapText="false" indent="0" shrinkToFit="false"/>
      <protection locked="true" hidden="false"/>
    </xf>
    <xf numFmtId="170" fontId="19" fillId="0" borderId="1" xfId="0" applyFont="true" applyBorder="true" applyAlignment="true" applyProtection="false">
      <alignment horizontal="center" vertical="bottom" textRotation="0" wrapText="false" indent="0" shrinkToFit="false"/>
      <protection locked="true" hidden="false"/>
    </xf>
    <xf numFmtId="164" fontId="36" fillId="0" borderId="1"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center" vertical="bottom" textRotation="0" wrapText="false" indent="0" shrinkToFit="false"/>
      <protection locked="true" hidden="false"/>
    </xf>
    <xf numFmtId="164" fontId="37" fillId="9" borderId="1" xfId="0" applyFont="true" applyBorder="true" applyAlignment="true" applyProtection="false">
      <alignment horizontal="center" vertical="bottom" textRotation="0" wrapText="false" indent="0" shrinkToFit="false"/>
      <protection locked="true" hidden="false"/>
    </xf>
    <xf numFmtId="164" fontId="38" fillId="6" borderId="1" xfId="0" applyFont="true" applyBorder="true" applyAlignment="true" applyProtection="false">
      <alignment horizontal="general"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64" fontId="10" fillId="6" borderId="1" xfId="0" applyFont="true" applyBorder="true" applyAlignment="true" applyProtection="true">
      <alignment horizontal="center" vertical="bottom" textRotation="0" wrapText="false" indent="0" shrinkToFit="false"/>
      <protection locked="false" hidden="false"/>
    </xf>
    <xf numFmtId="164" fontId="10" fillId="0" borderId="1" xfId="0" applyFont="true" applyBorder="true" applyAlignment="true" applyProtection="true">
      <alignment horizontal="center" vertical="bottom" textRotation="0" wrapText="false" indent="0" shrinkToFit="false"/>
      <protection locked="false" hidden="false"/>
    </xf>
    <xf numFmtId="164" fontId="39" fillId="6" borderId="1" xfId="0" applyFont="true" applyBorder="true" applyAlignment="true" applyProtection="false">
      <alignment horizontal="center" vertical="bottom" textRotation="0" wrapText="false" indent="0" shrinkToFit="false"/>
      <protection locked="true" hidden="false"/>
    </xf>
    <xf numFmtId="164" fontId="25" fillId="6" borderId="1" xfId="0" applyFont="true" applyBorder="true" applyAlignment="true" applyProtection="false">
      <alignment horizontal="general" vertical="bottom" textRotation="0" wrapText="false" indent="0" shrinkToFit="false"/>
      <protection locked="true" hidden="false"/>
    </xf>
    <xf numFmtId="164" fontId="39" fillId="0" borderId="1" xfId="0" applyFont="true" applyBorder="true" applyAlignment="true" applyProtection="false">
      <alignment horizontal="center" vertical="bottom" textRotation="0" wrapText="false" indent="0" shrinkToFit="false"/>
      <protection locked="true" hidden="false"/>
    </xf>
    <xf numFmtId="164" fontId="25" fillId="0" borderId="1" xfId="0" applyFont="true" applyBorder="true" applyAlignment="true" applyProtection="false">
      <alignment horizontal="general" vertical="bottom" textRotation="0" wrapText="false" indent="0" shrinkToFit="false"/>
      <protection locked="true" hidden="false"/>
    </xf>
    <xf numFmtId="164" fontId="39" fillId="4" borderId="1" xfId="0" applyFont="true" applyBorder="true" applyAlignment="true" applyProtection="false">
      <alignment horizontal="center" vertical="bottom" textRotation="0" wrapText="false" indent="0" shrinkToFit="false"/>
      <protection locked="true" hidden="false"/>
    </xf>
    <xf numFmtId="171" fontId="8" fillId="0" borderId="1" xfId="0" applyFont="true" applyBorder="true" applyAlignment="true" applyProtection="false">
      <alignment horizontal="center" vertical="bottom" textRotation="0" wrapText="false" indent="0" shrinkToFit="false"/>
      <protection locked="true" hidden="false"/>
    </xf>
    <xf numFmtId="171" fontId="11" fillId="0" borderId="1" xfId="0" applyFont="true" applyBorder="true" applyAlignment="true" applyProtection="false">
      <alignment horizontal="center" vertical="bottom" textRotation="0" wrapText="false" indent="0" shrinkToFit="false"/>
      <protection locked="true" hidden="false"/>
    </xf>
    <xf numFmtId="169" fontId="19" fillId="6" borderId="1" xfId="0" applyFont="true" applyBorder="true" applyAlignment="true" applyProtection="fals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9" fontId="19" fillId="5" borderId="1" xfId="0" applyFont="true" applyBorder="true" applyAlignment="true" applyProtection="false">
      <alignment horizontal="center" vertical="bottom" textRotation="0" wrapText="false" indent="0" shrinkToFit="false"/>
      <protection locked="true" hidden="false"/>
    </xf>
    <xf numFmtId="168" fontId="19" fillId="5" borderId="1" xfId="0" applyFont="true" applyBorder="true" applyAlignment="true" applyProtection="false">
      <alignment horizontal="center" vertical="bottom" textRotation="0" wrapText="false" indent="0" shrinkToFit="false"/>
      <protection locked="true" hidden="false"/>
    </xf>
    <xf numFmtId="169" fontId="19" fillId="3" borderId="1" xfId="0" applyFont="true" applyBorder="true" applyAlignment="true" applyProtection="false">
      <alignment horizontal="center" vertical="bottom" textRotation="0" wrapText="false" indent="0" shrinkToFit="false"/>
      <protection locked="true" hidden="false"/>
    </xf>
    <xf numFmtId="168" fontId="19" fillId="3" borderId="1" xfId="0" applyFont="true" applyBorder="true" applyAlignment="true" applyProtection="false">
      <alignment horizontal="center" vertical="bottom" textRotation="0" wrapText="false" indent="0" shrinkToFit="false"/>
      <protection locked="true" hidden="false"/>
    </xf>
    <xf numFmtId="169" fontId="19" fillId="0" borderId="1" xfId="0" applyFont="true" applyBorder="true" applyAlignment="true" applyProtection="false">
      <alignment horizontal="center" vertical="bottom" textRotation="0" wrapText="false" indent="0" shrinkToFit="false"/>
      <protection locked="true" hidden="false"/>
    </xf>
    <xf numFmtId="168" fontId="19" fillId="0" borderId="1" xfId="0" applyFont="true" applyBorder="true" applyAlignment="true" applyProtection="false">
      <alignment horizontal="center" vertical="bottom" textRotation="0" wrapText="false" indent="0" shrinkToFit="false"/>
      <protection locked="true" hidden="false"/>
    </xf>
    <xf numFmtId="169" fontId="19" fillId="4" borderId="1" xfId="0" applyFont="true" applyBorder="true" applyAlignment="true" applyProtection="false">
      <alignment horizontal="center" vertical="bottom" textRotation="0" wrapText="false" indent="0" shrinkToFit="false"/>
      <protection locked="true" hidden="false"/>
    </xf>
    <xf numFmtId="168" fontId="19" fillId="4" borderId="1" xfId="0" applyFont="true" applyBorder="true" applyAlignment="true" applyProtection="false">
      <alignment horizontal="center" vertical="bottom" textRotation="0" wrapText="false" indent="0" shrinkToFit="false"/>
      <protection locked="true" hidden="false"/>
    </xf>
    <xf numFmtId="169" fontId="13" fillId="0" borderId="1" xfId="0" applyFont="true" applyBorder="true" applyAlignment="true" applyProtection="false">
      <alignment horizontal="center" vertical="bottom" textRotation="0" wrapText="false" indent="0" shrinkToFit="false"/>
      <protection locked="true" hidden="false"/>
    </xf>
    <xf numFmtId="172" fontId="14" fillId="3" borderId="1" xfId="0" applyFont="true" applyBorder="true" applyAlignment="true" applyProtection="true">
      <alignment horizontal="center" vertical="bottom" textRotation="0" wrapText="false" indent="0" shrinkToFit="false"/>
      <protection locked="false" hidden="false"/>
    </xf>
    <xf numFmtId="165" fontId="13" fillId="3" borderId="1" xfId="0" applyFont="true" applyBorder="true" applyAlignment="true" applyProtection="true">
      <alignment horizontal="center" vertical="bottom" textRotation="0" wrapText="false" indent="0" shrinkToFit="false"/>
      <protection locked="false" hidden="false"/>
    </xf>
    <xf numFmtId="165" fontId="0" fillId="3" borderId="1" xfId="0" applyFont="false" applyBorder="true" applyAlignment="true" applyProtection="false">
      <alignment horizontal="general" vertical="bottom" textRotation="0" wrapText="false" indent="0" shrinkToFit="false"/>
      <protection locked="true" hidden="false"/>
    </xf>
    <xf numFmtId="172" fontId="14" fillId="6" borderId="1" xfId="0" applyFont="true" applyBorder="true" applyAlignment="true" applyProtection="true">
      <alignment horizontal="center" vertical="bottom" textRotation="0" wrapText="false" indent="0" shrinkToFit="false"/>
      <protection locked="false" hidden="false"/>
    </xf>
    <xf numFmtId="165" fontId="13" fillId="6" borderId="1" xfId="0" applyFont="true" applyBorder="true" applyAlignment="true" applyProtection="true">
      <alignment horizontal="center" vertical="bottom" textRotation="0" wrapText="false" indent="0" shrinkToFit="false"/>
      <protection locked="false" hidden="false"/>
    </xf>
    <xf numFmtId="165" fontId="0" fillId="6" borderId="1" xfId="0" applyFont="false" applyBorder="true" applyAlignment="true" applyProtection="false">
      <alignment horizontal="general" vertical="bottom" textRotation="0" wrapText="false" indent="0" shrinkToFit="false"/>
      <protection locked="true" hidden="false"/>
    </xf>
    <xf numFmtId="172" fontId="14" fillId="7" borderId="1" xfId="0" applyFont="true" applyBorder="true" applyAlignment="true" applyProtection="true">
      <alignment horizontal="center" vertical="bottom" textRotation="0" wrapText="false" indent="0" shrinkToFit="false"/>
      <protection locked="false" hidden="false"/>
    </xf>
    <xf numFmtId="165" fontId="14" fillId="3" borderId="1" xfId="0" applyFont="true" applyBorder="true" applyAlignment="true" applyProtection="true">
      <alignment horizontal="center" vertical="bottom" textRotation="0" wrapText="false" indent="0" shrinkToFit="false"/>
      <protection locked="false" hidden="false"/>
    </xf>
    <xf numFmtId="172" fontId="13" fillId="3" borderId="1" xfId="0" applyFont="true" applyBorder="true" applyAlignment="true" applyProtection="true">
      <alignment horizontal="center" vertical="bottom" textRotation="0" wrapText="false" indent="0" shrinkToFit="false"/>
      <protection locked="false" hidden="false"/>
    </xf>
    <xf numFmtId="172" fontId="21" fillId="3" borderId="1" xfId="0" applyFont="true" applyBorder="true" applyAlignment="true" applyProtection="false">
      <alignment horizontal="center" vertical="bottom" textRotation="0" wrapText="false" indent="0" shrinkToFit="false"/>
      <protection locked="true" hidden="false"/>
    </xf>
    <xf numFmtId="172" fontId="19" fillId="3" borderId="1" xfId="0" applyFont="true" applyBorder="true" applyAlignment="true" applyProtection="false">
      <alignment horizontal="center" vertical="bottom" textRotation="0" wrapText="false" indent="0" shrinkToFit="false"/>
      <protection locked="true" hidden="false"/>
    </xf>
    <xf numFmtId="165" fontId="14" fillId="6" borderId="1" xfId="0" applyFont="true" applyBorder="true" applyAlignment="true" applyProtection="true">
      <alignment horizontal="center" vertical="bottom" textRotation="0" wrapText="false" indent="0" shrinkToFit="false"/>
      <protection locked="false" hidden="false"/>
    </xf>
    <xf numFmtId="172" fontId="13" fillId="6" borderId="1" xfId="0" applyFont="true" applyBorder="true" applyAlignment="true" applyProtection="true">
      <alignment horizontal="center" vertical="bottom" textRotation="0" wrapText="false" indent="0" shrinkToFit="false"/>
      <protection locked="false" hidden="false"/>
    </xf>
    <xf numFmtId="172" fontId="21" fillId="6" borderId="1" xfId="0" applyFont="true" applyBorder="true" applyAlignment="true" applyProtection="false">
      <alignment horizontal="center"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true" applyAlignment="true" applyProtection="false">
      <alignment horizontal="general" vertical="top" textRotation="0" wrapText="true" indent="0" shrinkToFit="false"/>
      <protection locked="true" hidden="false"/>
    </xf>
    <xf numFmtId="169" fontId="14" fillId="6" borderId="1" xfId="0" applyFont="true" applyBorder="true" applyAlignment="true" applyProtection="true">
      <alignment horizontal="center" vertical="bottom" textRotation="0" wrapText="false" indent="0" shrinkToFit="false"/>
      <protection locked="false" hidden="false"/>
    </xf>
    <xf numFmtId="173" fontId="19" fillId="6" borderId="1" xfId="0" applyFont="true" applyBorder="true" applyAlignment="true" applyProtection="false">
      <alignment horizontal="center" vertical="bottom" textRotation="0" wrapText="false" indent="0" shrinkToFit="false"/>
      <protection locked="true" hidden="false"/>
    </xf>
    <xf numFmtId="174" fontId="0" fillId="6" borderId="1" xfId="0" applyFont="false" applyBorder="true" applyAlignment="true" applyProtection="false">
      <alignment horizontal="general" vertical="bottom" textRotation="0" wrapText="false" indent="0" shrinkToFit="false"/>
      <protection locked="true" hidden="false"/>
    </xf>
    <xf numFmtId="175" fontId="0" fillId="6" borderId="1" xfId="0" applyFont="false" applyBorder="true" applyAlignment="true" applyProtection="false">
      <alignment horizontal="general" vertical="bottom" textRotation="0" wrapText="false" indent="0" shrinkToFit="false"/>
      <protection locked="true" hidden="false"/>
    </xf>
    <xf numFmtId="169" fontId="14" fillId="4" borderId="1" xfId="0" applyFont="true" applyBorder="true" applyAlignment="true" applyProtection="true">
      <alignment horizontal="center" vertical="bottom" textRotation="0" wrapText="false" indent="0" shrinkToFit="false"/>
      <protection locked="false" hidden="false"/>
    </xf>
    <xf numFmtId="173" fontId="19" fillId="4" borderId="1" xfId="0" applyFont="true" applyBorder="true" applyAlignment="true" applyProtection="false">
      <alignment horizontal="center" vertical="bottom" textRotation="0" wrapText="false" indent="0" shrinkToFit="false"/>
      <protection locked="true" hidden="false"/>
    </xf>
    <xf numFmtId="172" fontId="21" fillId="4" borderId="1" xfId="0" applyFont="true" applyBorder="true" applyAlignment="true" applyProtection="false">
      <alignment horizontal="center" vertical="bottom" textRotation="0" wrapText="false" indent="0" shrinkToFit="false"/>
      <protection locked="true" hidden="false"/>
    </xf>
    <xf numFmtId="172" fontId="19" fillId="4" borderId="1" xfId="0" applyFont="true" applyBorder="true" applyAlignment="true" applyProtection="false">
      <alignment horizontal="center" vertical="bottom" textRotation="0" wrapText="false" indent="0" shrinkToFit="false"/>
      <protection locked="true" hidden="false"/>
    </xf>
    <xf numFmtId="174" fontId="0" fillId="4" borderId="1" xfId="0" applyFont="false" applyBorder="true" applyAlignment="true" applyProtection="false">
      <alignment horizontal="general" vertical="bottom" textRotation="0" wrapText="false" indent="0" shrinkToFit="false"/>
      <protection locked="true" hidden="false"/>
    </xf>
    <xf numFmtId="175" fontId="0" fillId="4" borderId="1" xfId="0" applyFont="false" applyBorder="true" applyAlignment="true" applyProtection="false">
      <alignment horizontal="general" vertical="bottom" textRotation="0" wrapText="false" indent="0" shrinkToFit="false"/>
      <protection locked="true" hidden="false"/>
    </xf>
    <xf numFmtId="169" fontId="14" fillId="7" borderId="1" xfId="0" applyFont="true" applyBorder="true" applyAlignment="true" applyProtection="true">
      <alignment horizontal="center" vertical="bottom" textRotation="0" wrapText="false" indent="0" shrinkToFit="false"/>
      <protection locked="false" hidden="false"/>
    </xf>
    <xf numFmtId="173" fontId="19" fillId="3" borderId="1" xfId="0" applyFont="true" applyBorder="true" applyAlignment="true" applyProtection="false">
      <alignment horizontal="center" vertical="bottom" textRotation="0" wrapText="false" indent="0" shrinkToFit="false"/>
      <protection locked="true" hidden="false"/>
    </xf>
    <xf numFmtId="174" fontId="0" fillId="3" borderId="1" xfId="0" applyFont="false" applyBorder="true" applyAlignment="true" applyProtection="false">
      <alignment horizontal="general" vertical="bottom" textRotation="0" wrapText="false" indent="0" shrinkToFit="false"/>
      <protection locked="true" hidden="false"/>
    </xf>
    <xf numFmtId="175" fontId="0" fillId="3" borderId="1" xfId="0" applyFont="false" applyBorder="true" applyAlignment="true" applyProtection="false">
      <alignment horizontal="general" vertical="bottom" textRotation="0" wrapText="false" indent="0" shrinkToFit="false"/>
      <protection locked="true" hidden="false"/>
    </xf>
    <xf numFmtId="176" fontId="0" fillId="0" borderId="1" xfId="0" applyFont="fals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40" fillId="0" borderId="1" xfId="0" applyFont="true" applyBorder="true" applyAlignment="true" applyProtection="false">
      <alignment horizontal="center" vertical="bottom" textRotation="0" wrapText="false" indent="0" shrinkToFit="false"/>
      <protection locked="true" hidden="false"/>
    </xf>
    <xf numFmtId="165" fontId="11" fillId="0" borderId="1" xfId="0" applyFont="true" applyBorder="true" applyAlignment="true" applyProtection="false">
      <alignment horizontal="center" vertical="bottom" textRotation="0" wrapText="false" indent="0" shrinkToFit="false"/>
      <protection locked="true" hidden="false"/>
    </xf>
    <xf numFmtId="164" fontId="28" fillId="0" borderId="1" xfId="0" applyFont="true" applyBorder="true" applyAlignment="true" applyProtection="false">
      <alignment horizontal="general" vertical="bottom" textRotation="0" wrapText="false" indent="0" shrinkToFit="false"/>
      <protection locked="true" hidden="false"/>
    </xf>
    <xf numFmtId="172" fontId="0" fillId="0" borderId="1" xfId="0" applyFont="false" applyBorder="true" applyAlignment="true" applyProtection="false">
      <alignment horizontal="center" vertical="bottom" textRotation="0" wrapText="false" indent="0" shrinkToFit="false"/>
      <protection locked="true" hidden="false"/>
    </xf>
    <xf numFmtId="169" fontId="14" fillId="0" borderId="1" xfId="0" applyFont="true" applyBorder="true" applyAlignment="true" applyProtection="true">
      <alignment horizontal="center"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A6D1F"/>
      <rgbColor rgb="FF800080"/>
      <rgbColor rgb="FF1B7F4B"/>
      <rgbColor rgb="FFEDD9C4"/>
      <rgbColor rgb="FF7A828F"/>
      <rgbColor rgb="FF9999FF"/>
      <rgbColor rgb="FFB4283C"/>
      <rgbColor rgb="FFFBF3D7"/>
      <rgbColor rgb="FFEDEFF2"/>
      <rgbColor rgb="FF660066"/>
      <rgbColor rgb="FFFF8080"/>
      <rgbColor rgb="FF0066CC"/>
      <rgbColor rgb="FFC9CED6"/>
      <rgbColor rgb="FF000080"/>
      <rgbColor rgb="FFFF00FF"/>
      <rgbColor rgb="FFFFFF00"/>
      <rgbColor rgb="FF00FFFF"/>
      <rgbColor rgb="FF800080"/>
      <rgbColor rgb="FF800000"/>
      <rgbColor rgb="FF008080"/>
      <rgbColor rgb="FF0000FF"/>
      <rgbColor rgb="FF00CCFF"/>
      <rgbColor rgb="FFE4E7EB"/>
      <rgbColor rgb="FFD9F2E4"/>
      <rgbColor rgb="FFFBF0D2"/>
      <rgbColor rgb="FF99CCFF"/>
      <rgbColor rgb="FFFBE0E3"/>
      <rgbColor rgb="FFCC99FF"/>
      <rgbColor rgb="FFF6E3A1"/>
      <rgbColor rgb="FF3366FF"/>
      <rgbColor rgb="FF33CCCC"/>
      <rgbColor rgb="FF99CC00"/>
      <rgbColor rgb="FFFFCC00"/>
      <rgbColor rgb="FFFF9900"/>
      <rgbColor rgb="FFFF5900"/>
      <rgbColor rgb="FF666699"/>
      <rgbColor rgb="FF9AA1AC"/>
      <rgbColor rgb="FF003366"/>
      <rgbColor rgb="FF339966"/>
      <rgbColor rgb="FF14181F"/>
      <rgbColor rgb="FF333300"/>
      <rgbColor rgb="FFB45309"/>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7"/>
    <col collapsed="false" customWidth="true" hidden="false" outlineLevel="0" max="4" min="4" style="1" width="13"/>
    <col collapsed="false" customWidth="true" hidden="false" outlineLevel="0" max="5" min="5" style="1" width="48"/>
    <col collapsed="false" customWidth="true" hidden="false" outlineLevel="0" max="6" min="6" style="1" width="44"/>
    <col collapsed="false" customWidth="true" hidden="false" outlineLevel="0" max="7" min="7" style="1" width="40"/>
    <col collapsed="false" customWidth="true" hidden="false" outlineLevel="0" max="8" min="8" style="1" width="26"/>
  </cols>
  <sheetData>
    <row r="2" customFormat="false" ht="18" hidden="false" customHeight="true" outlineLevel="0" collapsed="false">
      <c r="B2" s="2" t="s">
        <v>0</v>
      </c>
    </row>
    <row r="3" customFormat="false" ht="15" hidden="false" customHeight="true" outlineLevel="0" collapsed="false">
      <c r="B3" s="3" t="s">
        <v>1</v>
      </c>
      <c r="C3" s="3"/>
      <c r="D3" s="3"/>
      <c r="E3" s="3"/>
      <c r="F3" s="3"/>
      <c r="G3" s="3"/>
      <c r="H3" s="3"/>
    </row>
    <row r="4" customFormat="false" ht="15" hidden="false" customHeight="true" outlineLevel="0" collapsed="false">
      <c r="B4" s="3"/>
      <c r="C4" s="3"/>
      <c r="D4" s="3"/>
      <c r="E4" s="3"/>
      <c r="F4" s="3"/>
      <c r="G4" s="3"/>
      <c r="H4" s="3"/>
    </row>
    <row r="5" customFormat="false" ht="15" hidden="false" customHeight="true" outlineLevel="0" collapsed="false">
      <c r="B5" s="3"/>
      <c r="C5" s="3"/>
      <c r="D5" s="3"/>
      <c r="E5" s="3"/>
      <c r="F5" s="3"/>
      <c r="G5" s="3"/>
      <c r="H5" s="3"/>
    </row>
    <row r="7" customFormat="false" ht="15" hidden="false" customHeight="true" outlineLevel="0" collapsed="false">
      <c r="B7" s="4" t="s">
        <v>2</v>
      </c>
      <c r="C7" s="4" t="s">
        <v>3</v>
      </c>
      <c r="D7" s="4" t="s">
        <v>4</v>
      </c>
      <c r="E7" s="4" t="s">
        <v>5</v>
      </c>
      <c r="F7" s="4" t="s">
        <v>6</v>
      </c>
      <c r="G7" s="4" t="s">
        <v>7</v>
      </c>
    </row>
    <row r="8" customFormat="false" ht="63.75" hidden="false" customHeight="true" outlineLevel="0" collapsed="false">
      <c r="B8" s="5" t="s">
        <v>8</v>
      </c>
      <c r="C8" s="6" t="s">
        <v>9</v>
      </c>
      <c r="D8" s="7" t="s">
        <v>10</v>
      </c>
      <c r="E8" s="7" t="s">
        <v>11</v>
      </c>
      <c r="F8" s="7" t="s">
        <v>12</v>
      </c>
      <c r="G8" s="7" t="s">
        <v>13</v>
      </c>
    </row>
    <row r="9" customFormat="false" ht="63.75" hidden="false" customHeight="true" outlineLevel="0" collapsed="false">
      <c r="B9" s="5" t="s">
        <v>14</v>
      </c>
      <c r="C9" s="8" t="s">
        <v>15</v>
      </c>
      <c r="D9" s="7" t="s">
        <v>16</v>
      </c>
      <c r="E9" s="7" t="s">
        <v>17</v>
      </c>
      <c r="F9" s="7" t="s">
        <v>18</v>
      </c>
      <c r="G9" s="7" t="s">
        <v>19</v>
      </c>
    </row>
    <row r="10" customFormat="false" ht="63.75" hidden="false" customHeight="true" outlineLevel="0" collapsed="false">
      <c r="B10" s="5" t="s">
        <v>20</v>
      </c>
      <c r="C10" s="9" t="s">
        <v>21</v>
      </c>
      <c r="D10" s="7" t="s">
        <v>22</v>
      </c>
      <c r="E10" s="7" t="s">
        <v>23</v>
      </c>
      <c r="F10" s="7" t="s">
        <v>24</v>
      </c>
      <c r="G10" s="7" t="s">
        <v>25</v>
      </c>
    </row>
    <row r="11" customFormat="false" ht="63.75" hidden="false" customHeight="true" outlineLevel="0" collapsed="false">
      <c r="B11" s="5" t="s">
        <v>26</v>
      </c>
      <c r="C11" s="9" t="s">
        <v>21</v>
      </c>
      <c r="D11" s="7" t="s">
        <v>27</v>
      </c>
      <c r="E11" s="7" t="s">
        <v>28</v>
      </c>
      <c r="F11" s="7" t="s">
        <v>29</v>
      </c>
      <c r="G11" s="7" t="s">
        <v>30</v>
      </c>
    </row>
    <row r="12" customFormat="false" ht="63.75" hidden="false" customHeight="true" outlineLevel="0" collapsed="false">
      <c r="B12" s="5" t="s">
        <v>31</v>
      </c>
      <c r="C12" s="10" t="s">
        <v>32</v>
      </c>
      <c r="D12" s="7" t="s">
        <v>33</v>
      </c>
      <c r="E12" s="7" t="s">
        <v>34</v>
      </c>
      <c r="F12" s="7" t="s">
        <v>35</v>
      </c>
      <c r="G12" s="7" t="s">
        <v>36</v>
      </c>
    </row>
    <row r="14" customFormat="false" ht="15" hidden="false" customHeight="true" outlineLevel="0" collapsed="false">
      <c r="B14" s="11" t="s">
        <v>37</v>
      </c>
    </row>
    <row r="15" customFormat="false" ht="15" hidden="false" customHeight="true" outlineLevel="0" collapsed="false">
      <c r="B15" s="4" t="s">
        <v>38</v>
      </c>
      <c r="C15" s="4" t="s">
        <v>39</v>
      </c>
      <c r="D15" s="4" t="s">
        <v>2</v>
      </c>
      <c r="E15" s="4" t="s">
        <v>40</v>
      </c>
      <c r="F15" s="4" t="s">
        <v>41</v>
      </c>
    </row>
    <row r="16" customFormat="false" ht="15" hidden="false" customHeight="true" outlineLevel="0" collapsed="false">
      <c r="B16" s="12" t="s">
        <v>42</v>
      </c>
      <c r="C16" s="13" t="n">
        <v>52</v>
      </c>
      <c r="D16" s="14" t="s">
        <v>9</v>
      </c>
      <c r="E16" s="15" t="s">
        <v>43</v>
      </c>
      <c r="F16" s="16" t="s">
        <v>44</v>
      </c>
    </row>
    <row r="17" customFormat="false" ht="15" hidden="false" customHeight="true" outlineLevel="0" collapsed="false">
      <c r="B17" s="17" t="s">
        <v>45</v>
      </c>
      <c r="C17" s="13" t="n">
        <v>8</v>
      </c>
      <c r="D17" s="14" t="s">
        <v>9</v>
      </c>
      <c r="E17" s="15" t="s">
        <v>46</v>
      </c>
      <c r="F17" s="16" t="s">
        <v>47</v>
      </c>
    </row>
    <row r="18" customFormat="false" ht="15" hidden="false" customHeight="true" outlineLevel="0" collapsed="false">
      <c r="B18" s="17" t="s">
        <v>48</v>
      </c>
      <c r="C18" s="13" t="n">
        <v>22</v>
      </c>
      <c r="D18" s="14" t="s">
        <v>9</v>
      </c>
      <c r="E18" s="15" t="s">
        <v>49</v>
      </c>
      <c r="F18" s="16"/>
    </row>
    <row r="19" customFormat="false" ht="15" hidden="false" customHeight="true" outlineLevel="0" collapsed="false">
      <c r="B19" s="17" t="s">
        <v>50</v>
      </c>
      <c r="C19" s="13" t="n">
        <v>26</v>
      </c>
      <c r="D19" s="14" t="s">
        <v>15</v>
      </c>
      <c r="E19" s="15" t="s">
        <v>51</v>
      </c>
      <c r="F19" s="16"/>
    </row>
    <row r="20" customFormat="false" ht="15" hidden="false" customHeight="true" outlineLevel="0" collapsed="false">
      <c r="B20" s="17" t="s">
        <v>52</v>
      </c>
      <c r="C20" s="13" t="n">
        <v>28</v>
      </c>
      <c r="D20" s="14" t="s">
        <v>15</v>
      </c>
      <c r="E20" s="15" t="s">
        <v>53</v>
      </c>
      <c r="F20" s="16" t="s">
        <v>54</v>
      </c>
    </row>
    <row r="21" customFormat="false" ht="15" hidden="false" customHeight="true" outlineLevel="0" collapsed="false">
      <c r="B21" s="17" t="s">
        <v>55</v>
      </c>
      <c r="C21" s="13" t="n">
        <v>30</v>
      </c>
      <c r="D21" s="14" t="s">
        <v>15</v>
      </c>
      <c r="E21" s="15" t="s">
        <v>56</v>
      </c>
      <c r="F21" s="16"/>
    </row>
    <row r="22" customFormat="false" ht="15" hidden="false" customHeight="true" outlineLevel="0" collapsed="false">
      <c r="B22" s="17" t="s">
        <v>57</v>
      </c>
      <c r="C22" s="13" t="n">
        <v>32</v>
      </c>
      <c r="D22" s="14" t="s">
        <v>15</v>
      </c>
      <c r="E22" s="15" t="s">
        <v>58</v>
      </c>
      <c r="F22" s="16"/>
    </row>
    <row r="23" customFormat="false" ht="15" hidden="false" customHeight="true" outlineLevel="0" collapsed="false">
      <c r="B23" s="17" t="s">
        <v>59</v>
      </c>
      <c r="C23" s="13" t="n">
        <v>34</v>
      </c>
      <c r="D23" s="14" t="s">
        <v>32</v>
      </c>
      <c r="E23" s="15" t="s">
        <v>60</v>
      </c>
      <c r="F23" s="16" t="s">
        <v>61</v>
      </c>
    </row>
    <row r="24" customFormat="false" ht="15" hidden="false" customHeight="true" outlineLevel="0" collapsed="false">
      <c r="B24" s="17" t="s">
        <v>62</v>
      </c>
      <c r="C24" s="13" t="n">
        <v>36</v>
      </c>
      <c r="D24" s="14" t="s">
        <v>21</v>
      </c>
      <c r="E24" s="15" t="s">
        <v>63</v>
      </c>
      <c r="F24" s="16"/>
    </row>
    <row r="25" customFormat="false" ht="15" hidden="false" customHeight="true" outlineLevel="0" collapsed="false">
      <c r="B25" s="17" t="s">
        <v>64</v>
      </c>
      <c r="C25" s="13" t="n">
        <v>38</v>
      </c>
      <c r="D25" s="14" t="s">
        <v>15</v>
      </c>
      <c r="E25" s="15" t="s">
        <v>65</v>
      </c>
      <c r="F25" s="16"/>
    </row>
    <row r="26" customFormat="false" ht="15" hidden="false" customHeight="true" outlineLevel="0" collapsed="false">
      <c r="B26" s="17" t="s">
        <v>66</v>
      </c>
      <c r="C26" s="13" t="n">
        <v>40</v>
      </c>
      <c r="D26" s="14" t="s">
        <v>32</v>
      </c>
      <c r="E26" s="15" t="s">
        <v>67</v>
      </c>
      <c r="F26" s="16" t="s">
        <v>68</v>
      </c>
    </row>
    <row r="27" customFormat="false" ht="15" hidden="false" customHeight="true" outlineLevel="0" collapsed="false">
      <c r="B27" s="17" t="s">
        <v>69</v>
      </c>
      <c r="C27" s="13" t="n">
        <v>45</v>
      </c>
      <c r="D27" s="14" t="s">
        <v>32</v>
      </c>
      <c r="E27" s="15" t="s">
        <v>70</v>
      </c>
      <c r="F27" s="16" t="s">
        <v>71</v>
      </c>
    </row>
    <row r="28" customFormat="false" ht="15" hidden="false" customHeight="true" outlineLevel="0" collapsed="false">
      <c r="B28" s="17" t="s">
        <v>72</v>
      </c>
      <c r="C28" s="13" t="n">
        <v>45</v>
      </c>
      <c r="D28" s="14" t="s">
        <v>21</v>
      </c>
      <c r="E28" s="15" t="s">
        <v>73</v>
      </c>
      <c r="F28" s="16" t="s">
        <v>74</v>
      </c>
    </row>
    <row r="29" customFormat="false" ht="15" hidden="false" customHeight="true" outlineLevel="0" collapsed="false">
      <c r="B29" s="17" t="s">
        <v>75</v>
      </c>
      <c r="C29" s="13" t="n">
        <v>50</v>
      </c>
      <c r="D29" s="14" t="s">
        <v>32</v>
      </c>
      <c r="E29" s="15" t="s">
        <v>76</v>
      </c>
      <c r="F29" s="16"/>
    </row>
    <row r="30" customFormat="false" ht="15" hidden="false" customHeight="true" outlineLevel="0" collapsed="false">
      <c r="B30" s="17" t="s">
        <v>77</v>
      </c>
      <c r="C30" s="13" t="n">
        <v>55</v>
      </c>
      <c r="D30" s="14" t="s">
        <v>21</v>
      </c>
      <c r="E30" s="15" t="s">
        <v>78</v>
      </c>
      <c r="F30" s="16"/>
    </row>
    <row r="31" customFormat="false" ht="15" hidden="false" customHeight="true" outlineLevel="0" collapsed="false">
      <c r="B31" s="17" t="s">
        <v>79</v>
      </c>
      <c r="C31" s="13" t="n">
        <v>58</v>
      </c>
      <c r="D31" s="14" t="s">
        <v>21</v>
      </c>
      <c r="E31" s="15" t="s">
        <v>80</v>
      </c>
      <c r="F31" s="16"/>
    </row>
    <row r="32" customFormat="false" ht="15" hidden="false" customHeight="true" outlineLevel="0" collapsed="false">
      <c r="B32" s="17" t="s">
        <v>81</v>
      </c>
      <c r="C32" s="13" t="n">
        <v>60</v>
      </c>
      <c r="D32" s="14" t="s">
        <v>15</v>
      </c>
      <c r="E32" s="15" t="s">
        <v>82</v>
      </c>
      <c r="F32" s="16"/>
    </row>
    <row r="33" customFormat="false" ht="15" hidden="false" customHeight="true" outlineLevel="0" collapsed="false">
      <c r="B33" s="17" t="s">
        <v>83</v>
      </c>
      <c r="C33" s="13" t="n">
        <v>62</v>
      </c>
      <c r="D33" s="14" t="s">
        <v>32</v>
      </c>
      <c r="E33" s="15" t="s">
        <v>84</v>
      </c>
      <c r="F33" s="16" t="s">
        <v>85</v>
      </c>
    </row>
    <row r="34" customFormat="false" ht="15" hidden="false" customHeight="true" outlineLevel="0" collapsed="false">
      <c r="B34" s="17" t="s">
        <v>86</v>
      </c>
      <c r="C34" s="13" t="n">
        <v>65</v>
      </c>
      <c r="D34" s="14" t="s">
        <v>21</v>
      </c>
      <c r="E34" s="15" t="s">
        <v>87</v>
      </c>
      <c r="F34" s="16" t="s">
        <v>88</v>
      </c>
    </row>
    <row r="35" customFormat="false" ht="15" hidden="false" customHeight="true" outlineLevel="0" collapsed="false">
      <c r="B35" s="17" t="s">
        <v>89</v>
      </c>
      <c r="C35" s="13" t="n">
        <v>65</v>
      </c>
      <c r="D35" s="14" t="s">
        <v>21</v>
      </c>
      <c r="E35" s="15" t="s">
        <v>90</v>
      </c>
      <c r="F35" s="16"/>
    </row>
    <row r="36" customFormat="false" ht="15" hidden="false" customHeight="true" outlineLevel="0" collapsed="false">
      <c r="B36" s="17" t="s">
        <v>91</v>
      </c>
      <c r="C36" s="13" t="n">
        <v>75</v>
      </c>
      <c r="D36" s="14" t="s">
        <v>92</v>
      </c>
      <c r="E36" s="15" t="s">
        <v>93</v>
      </c>
      <c r="F36" s="16" t="s">
        <v>94</v>
      </c>
    </row>
    <row r="37" customFormat="false" ht="15" hidden="false" customHeight="true" outlineLevel="0" collapsed="false">
      <c r="B37" s="17" t="s">
        <v>95</v>
      </c>
      <c r="C37" s="13" t="n">
        <v>75</v>
      </c>
      <c r="D37" s="14" t="s">
        <v>92</v>
      </c>
      <c r="E37" s="15" t="s">
        <v>93</v>
      </c>
      <c r="F37" s="16" t="s">
        <v>96</v>
      </c>
    </row>
    <row r="38" customFormat="false" ht="15" hidden="false" customHeight="true" outlineLevel="0" collapsed="false">
      <c r="B38" s="17" t="s">
        <v>97</v>
      </c>
      <c r="C38" s="13" t="n">
        <v>78</v>
      </c>
      <c r="D38" s="14" t="s">
        <v>21</v>
      </c>
      <c r="E38" s="15" t="s">
        <v>98</v>
      </c>
      <c r="F38" s="16"/>
    </row>
    <row r="39" customFormat="false" ht="15" hidden="false" customHeight="true" outlineLevel="0" collapsed="false">
      <c r="B39" s="17" t="s">
        <v>99</v>
      </c>
      <c r="C39" s="13" t="n">
        <v>80</v>
      </c>
      <c r="D39" s="14" t="s">
        <v>92</v>
      </c>
      <c r="E39" s="15" t="s">
        <v>93</v>
      </c>
      <c r="F39" s="16" t="s">
        <v>100</v>
      </c>
    </row>
    <row r="40" customFormat="false" ht="15" hidden="false" customHeight="true" outlineLevel="0" collapsed="false">
      <c r="B40" s="17" t="s">
        <v>101</v>
      </c>
      <c r="C40" s="13" t="n">
        <v>82</v>
      </c>
      <c r="D40" s="14" t="s">
        <v>21</v>
      </c>
      <c r="E40" s="15" t="s">
        <v>102</v>
      </c>
      <c r="F40" s="16" t="s">
        <v>103</v>
      </c>
    </row>
  </sheetData>
  <sheetProtection sheet="true" formatCells="false" selectLockedCells="true" selectUnlockedCells="true"/>
  <mergeCells count="1">
    <mergeCell ref="B3:H5"/>
  </mergeCells>
  <dataValidations count="1">
    <dataValidation allowBlank="true" errorStyle="stop" operator="between" showDropDown="false" showErrorMessage="false" showInputMessage="false" sqref="D16:D40" type="list">
      <formula1>"A,B,C,D,E"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3" min="3" style="1" width="26"/>
    <col collapsed="false" customWidth="true" hidden="false" outlineLevel="0" max="4" min="4" style="1" width="50"/>
    <col collapsed="false" customWidth="true" hidden="false" outlineLevel="0" max="5" min="5" style="1" width="12"/>
    <col collapsed="false" customWidth="true" hidden="false" outlineLevel="0" max="6" min="6" style="1" width="11"/>
    <col collapsed="false" customWidth="true" hidden="false" outlineLevel="0" max="7" min="7" style="1" width="15"/>
    <col collapsed="false" customWidth="true" hidden="false" outlineLevel="0" max="8" min="8" style="1" width="11"/>
  </cols>
  <sheetData>
    <row r="2" customFormat="false" ht="18" hidden="false" customHeight="true" outlineLevel="0" collapsed="false">
      <c r="B2" s="2" t="s">
        <v>104</v>
      </c>
    </row>
    <row r="3" customFormat="false" ht="15" hidden="false" customHeight="true" outlineLevel="0" collapsed="false">
      <c r="B3" s="18" t="s">
        <v>105</v>
      </c>
    </row>
    <row r="5" customFormat="false" ht="23.25" hidden="false" customHeight="true" outlineLevel="0" collapsed="false">
      <c r="B5" s="4" t="s">
        <v>106</v>
      </c>
      <c r="C5" s="4" t="s">
        <v>107</v>
      </c>
      <c r="D5" s="4" t="s">
        <v>108</v>
      </c>
      <c r="E5" s="4" t="s">
        <v>109</v>
      </c>
      <c r="F5" s="4" t="s">
        <v>110</v>
      </c>
      <c r="G5" s="4" t="s">
        <v>111</v>
      </c>
      <c r="H5" s="4" t="s">
        <v>112</v>
      </c>
    </row>
    <row r="6" customFormat="false" ht="15" hidden="false" customHeight="true" outlineLevel="0" collapsed="false">
      <c r="B6" s="19" t="s">
        <v>113</v>
      </c>
      <c r="C6" s="20" t="s">
        <v>114</v>
      </c>
      <c r="D6" s="19" t="s">
        <v>115</v>
      </c>
      <c r="E6" s="21" t="n">
        <v>22</v>
      </c>
      <c r="F6" s="22" t="s">
        <v>116</v>
      </c>
      <c r="G6" s="23" t="n">
        <v>4600</v>
      </c>
      <c r="H6" s="21" t="s">
        <v>117</v>
      </c>
    </row>
    <row r="7" customFormat="false" ht="15" hidden="false" customHeight="true" outlineLevel="0" collapsed="false">
      <c r="B7" s="19" t="s">
        <v>118</v>
      </c>
      <c r="C7" s="20" t="s">
        <v>119</v>
      </c>
      <c r="D7" s="19" t="s">
        <v>120</v>
      </c>
      <c r="E7" s="21" t="n">
        <v>20</v>
      </c>
      <c r="F7" s="22" t="s">
        <v>121</v>
      </c>
      <c r="G7" s="23" t="n">
        <v>3300</v>
      </c>
      <c r="H7" s="21" t="s">
        <v>117</v>
      </c>
    </row>
    <row r="8" customFormat="false" ht="15" hidden="false" customHeight="true" outlineLevel="0" collapsed="false">
      <c r="B8" s="19" t="s">
        <v>122</v>
      </c>
      <c r="C8" s="20" t="s">
        <v>123</v>
      </c>
      <c r="D8" s="19" t="s">
        <v>124</v>
      </c>
      <c r="E8" s="21" t="n">
        <v>20</v>
      </c>
      <c r="F8" s="22" t="s">
        <v>125</v>
      </c>
      <c r="G8" s="23" t="n">
        <v>2200</v>
      </c>
      <c r="H8" s="21" t="s">
        <v>117</v>
      </c>
    </row>
    <row r="9" customFormat="false" ht="15" hidden="false" customHeight="true" outlineLevel="0" collapsed="false">
      <c r="B9" s="19" t="s">
        <v>126</v>
      </c>
      <c r="C9" s="20" t="s">
        <v>127</v>
      </c>
      <c r="D9" s="19" t="s">
        <v>128</v>
      </c>
      <c r="E9" s="21" t="n">
        <v>19</v>
      </c>
      <c r="F9" s="22" t="s">
        <v>129</v>
      </c>
      <c r="G9" s="23" t="n">
        <v>5300</v>
      </c>
      <c r="H9" s="21" t="s">
        <v>117</v>
      </c>
    </row>
    <row r="10" customFormat="false" ht="15" hidden="false" customHeight="true" outlineLevel="0" collapsed="false">
      <c r="B10" s="19" t="s">
        <v>130</v>
      </c>
      <c r="C10" s="24" t="s">
        <v>131</v>
      </c>
      <c r="D10" s="19" t="s">
        <v>93</v>
      </c>
      <c r="E10" s="21" t="n">
        <v>16</v>
      </c>
      <c r="F10" s="22" t="s">
        <v>132</v>
      </c>
      <c r="G10" s="23" t="n">
        <v>0</v>
      </c>
      <c r="H10" s="21"/>
    </row>
    <row r="11" customFormat="false" ht="15" hidden="false" customHeight="true" outlineLevel="0" collapsed="false">
      <c r="B11" s="19" t="s">
        <v>133</v>
      </c>
      <c r="C11" s="20" t="s">
        <v>134</v>
      </c>
      <c r="D11" s="19" t="s">
        <v>135</v>
      </c>
      <c r="E11" s="21" t="n">
        <v>16</v>
      </c>
      <c r="F11" s="22" t="s">
        <v>136</v>
      </c>
      <c r="G11" s="23" t="n">
        <v>1900</v>
      </c>
      <c r="H11" s="21" t="s">
        <v>117</v>
      </c>
    </row>
    <row r="12" customFormat="false" ht="15" hidden="false" customHeight="true" outlineLevel="0" collapsed="false">
      <c r="B12" s="19" t="s">
        <v>137</v>
      </c>
      <c r="C12" s="24" t="s">
        <v>138</v>
      </c>
      <c r="D12" s="19" t="s">
        <v>93</v>
      </c>
      <c r="E12" s="21" t="n">
        <v>15</v>
      </c>
      <c r="F12" s="22" t="s">
        <v>139</v>
      </c>
      <c r="G12" s="23" t="n">
        <v>0</v>
      </c>
      <c r="H12" s="21"/>
    </row>
    <row r="13" customFormat="false" ht="15" hidden="false" customHeight="true" outlineLevel="0" collapsed="false">
      <c r="B13" s="19" t="s">
        <v>140</v>
      </c>
      <c r="C13" s="20" t="s">
        <v>141</v>
      </c>
      <c r="D13" s="19" t="s">
        <v>142</v>
      </c>
      <c r="E13" s="21" t="n">
        <v>15</v>
      </c>
      <c r="F13" s="22" t="s">
        <v>143</v>
      </c>
      <c r="G13" s="23" t="n">
        <v>2700</v>
      </c>
      <c r="H13" s="21" t="s">
        <v>117</v>
      </c>
    </row>
    <row r="14" customFormat="false" ht="15" hidden="false" customHeight="true" outlineLevel="0" collapsed="false">
      <c r="B14" s="19" t="s">
        <v>144</v>
      </c>
      <c r="C14" s="24" t="s">
        <v>145</v>
      </c>
      <c r="D14" s="19" t="s">
        <v>93</v>
      </c>
      <c r="E14" s="21" t="n">
        <v>15</v>
      </c>
      <c r="F14" s="22" t="s">
        <v>143</v>
      </c>
      <c r="G14" s="23" t="n">
        <v>0</v>
      </c>
      <c r="H14" s="21"/>
    </row>
    <row r="15" customFormat="false" ht="15" hidden="false" customHeight="true" outlineLevel="0" collapsed="false">
      <c r="B15" s="19" t="s">
        <v>146</v>
      </c>
      <c r="C15" s="24" t="s">
        <v>147</v>
      </c>
      <c r="D15" s="19" t="s">
        <v>93</v>
      </c>
      <c r="E15" s="21" t="n">
        <v>15</v>
      </c>
      <c r="F15" s="22" t="s">
        <v>148</v>
      </c>
      <c r="G15" s="23" t="n">
        <v>0</v>
      </c>
      <c r="H15" s="21"/>
    </row>
    <row r="16" customFormat="false" ht="15" hidden="false" customHeight="true" outlineLevel="0" collapsed="false">
      <c r="B16" s="19" t="s">
        <v>149</v>
      </c>
      <c r="C16" s="20" t="s">
        <v>150</v>
      </c>
      <c r="D16" s="19" t="s">
        <v>93</v>
      </c>
      <c r="E16" s="21" t="n">
        <v>15</v>
      </c>
      <c r="F16" s="22" t="s">
        <v>132</v>
      </c>
      <c r="G16" s="23" t="n">
        <v>1100</v>
      </c>
      <c r="H16" s="21" t="s">
        <v>117</v>
      </c>
    </row>
    <row r="17" customFormat="false" ht="15" hidden="false" customHeight="true" outlineLevel="0" collapsed="false">
      <c r="B17" s="19" t="s">
        <v>151</v>
      </c>
      <c r="C17" s="24" t="s">
        <v>152</v>
      </c>
      <c r="D17" s="19" t="s">
        <v>93</v>
      </c>
      <c r="E17" s="21" t="n">
        <v>14</v>
      </c>
      <c r="F17" s="22" t="s">
        <v>139</v>
      </c>
      <c r="G17" s="23" t="n">
        <v>0</v>
      </c>
      <c r="H17" s="21"/>
    </row>
    <row r="18" customFormat="false" ht="15" hidden="false" customHeight="true" outlineLevel="0" collapsed="false">
      <c r="B18" s="19" t="s">
        <v>153</v>
      </c>
      <c r="C18" s="24" t="s">
        <v>154</v>
      </c>
      <c r="D18" s="19" t="s">
        <v>93</v>
      </c>
      <c r="E18" s="21" t="n">
        <v>13</v>
      </c>
      <c r="F18" s="22" t="s">
        <v>155</v>
      </c>
      <c r="G18" s="23" t="n">
        <v>0</v>
      </c>
      <c r="H18" s="21"/>
    </row>
    <row r="19" customFormat="false" ht="15" hidden="false" customHeight="true" outlineLevel="0" collapsed="false">
      <c r="B19" s="19" t="s">
        <v>156</v>
      </c>
      <c r="C19" s="20" t="s">
        <v>157</v>
      </c>
      <c r="D19" s="19" t="s">
        <v>158</v>
      </c>
      <c r="E19" s="21" t="n">
        <v>13</v>
      </c>
      <c r="F19" s="22" t="s">
        <v>159</v>
      </c>
      <c r="G19" s="23" t="n">
        <v>2150</v>
      </c>
      <c r="H19" s="21" t="s">
        <v>117</v>
      </c>
    </row>
    <row r="20" customFormat="false" ht="15" hidden="false" customHeight="true" outlineLevel="0" collapsed="false">
      <c r="B20" s="19" t="s">
        <v>160</v>
      </c>
      <c r="C20" s="24" t="s">
        <v>161</v>
      </c>
      <c r="D20" s="19" t="s">
        <v>93</v>
      </c>
      <c r="E20" s="21" t="n">
        <v>13</v>
      </c>
      <c r="F20" s="22" t="s">
        <v>136</v>
      </c>
      <c r="G20" s="23" t="n">
        <v>0</v>
      </c>
      <c r="H20" s="21"/>
    </row>
    <row r="21" customFormat="false" ht="15" hidden="false" customHeight="true" outlineLevel="0" collapsed="false">
      <c r="B21" s="19" t="s">
        <v>162</v>
      </c>
      <c r="C21" s="24" t="s">
        <v>163</v>
      </c>
      <c r="D21" s="19" t="s">
        <v>93</v>
      </c>
      <c r="E21" s="21" t="n">
        <v>12</v>
      </c>
      <c r="F21" s="22" t="s">
        <v>159</v>
      </c>
      <c r="G21" s="23" t="n">
        <v>0</v>
      </c>
      <c r="H21" s="21"/>
    </row>
    <row r="22" customFormat="false" ht="15" hidden="false" customHeight="true" outlineLevel="0" collapsed="false">
      <c r="B22" s="19" t="s">
        <v>164</v>
      </c>
      <c r="C22" s="20" t="s">
        <v>165</v>
      </c>
      <c r="D22" s="19" t="s">
        <v>166</v>
      </c>
      <c r="E22" s="21" t="n">
        <v>12</v>
      </c>
      <c r="F22" s="22" t="s">
        <v>167</v>
      </c>
      <c r="G22" s="23" t="n">
        <v>2950</v>
      </c>
      <c r="H22" s="21" t="s">
        <v>117</v>
      </c>
    </row>
    <row r="23" customFormat="false" ht="15" hidden="false" customHeight="true" outlineLevel="0" collapsed="false">
      <c r="B23" s="19" t="s">
        <v>168</v>
      </c>
      <c r="C23" s="24" t="s">
        <v>169</v>
      </c>
      <c r="D23" s="19" t="s">
        <v>93</v>
      </c>
      <c r="E23" s="21" t="n">
        <v>12</v>
      </c>
      <c r="F23" s="22" t="s">
        <v>148</v>
      </c>
      <c r="G23" s="23" t="n">
        <v>0</v>
      </c>
      <c r="H23" s="21"/>
    </row>
    <row r="24" customFormat="false" ht="15" hidden="false" customHeight="true" outlineLevel="0" collapsed="false">
      <c r="B24" s="19" t="s">
        <v>170</v>
      </c>
      <c r="C24" s="24" t="s">
        <v>171</v>
      </c>
      <c r="D24" s="19" t="s">
        <v>93</v>
      </c>
      <c r="E24" s="21" t="n">
        <v>11</v>
      </c>
      <c r="F24" s="22" t="s">
        <v>132</v>
      </c>
      <c r="G24" s="23" t="n">
        <v>0</v>
      </c>
      <c r="H24" s="21"/>
    </row>
    <row r="25" customFormat="false" ht="15" hidden="false" customHeight="true" outlineLevel="0" collapsed="false">
      <c r="B25" s="19" t="s">
        <v>172</v>
      </c>
      <c r="C25" s="20" t="s">
        <v>173</v>
      </c>
      <c r="D25" s="19" t="s">
        <v>93</v>
      </c>
      <c r="E25" s="21" t="n">
        <v>11</v>
      </c>
      <c r="F25" s="22" t="s">
        <v>167</v>
      </c>
      <c r="G25" s="23" t="n">
        <v>1800</v>
      </c>
      <c r="H25" s="21" t="s">
        <v>117</v>
      </c>
    </row>
    <row r="26" customFormat="false" ht="15" hidden="false" customHeight="true" outlineLevel="0" collapsed="false">
      <c r="B26" s="19" t="s">
        <v>174</v>
      </c>
      <c r="C26" s="20" t="s">
        <v>175</v>
      </c>
      <c r="D26" s="19" t="s">
        <v>93</v>
      </c>
      <c r="E26" s="21" t="n">
        <v>11</v>
      </c>
      <c r="F26" s="22" t="s">
        <v>176</v>
      </c>
      <c r="G26" s="23" t="n">
        <v>2200</v>
      </c>
      <c r="H26" s="21" t="s">
        <v>117</v>
      </c>
    </row>
    <row r="27" customFormat="false" ht="15" hidden="false" customHeight="true" outlineLevel="0" collapsed="false">
      <c r="B27" s="19" t="s">
        <v>177</v>
      </c>
      <c r="C27" s="20" t="s">
        <v>178</v>
      </c>
      <c r="D27" s="19" t="s">
        <v>179</v>
      </c>
      <c r="E27" s="21" t="n">
        <v>11</v>
      </c>
      <c r="F27" s="22" t="s">
        <v>155</v>
      </c>
      <c r="G27" s="23" t="n">
        <v>1750</v>
      </c>
      <c r="H27" s="21" t="s">
        <v>117</v>
      </c>
    </row>
    <row r="28" customFormat="false" ht="15" hidden="false" customHeight="true" outlineLevel="0" collapsed="false">
      <c r="B28" s="19" t="s">
        <v>180</v>
      </c>
      <c r="C28" s="20" t="s">
        <v>181</v>
      </c>
      <c r="D28" s="19" t="s">
        <v>182</v>
      </c>
      <c r="E28" s="21" t="n">
        <v>10</v>
      </c>
      <c r="F28" s="22" t="s">
        <v>132</v>
      </c>
      <c r="G28" s="23" t="n">
        <v>1050</v>
      </c>
      <c r="H28" s="21" t="s">
        <v>117</v>
      </c>
    </row>
    <row r="29" customFormat="false" ht="15" hidden="false" customHeight="true" outlineLevel="0" collapsed="false">
      <c r="B29" s="19" t="s">
        <v>183</v>
      </c>
      <c r="C29" s="24" t="s">
        <v>184</v>
      </c>
      <c r="D29" s="19" t="s">
        <v>93</v>
      </c>
      <c r="E29" s="21" t="n">
        <v>10</v>
      </c>
      <c r="F29" s="22" t="s">
        <v>185</v>
      </c>
      <c r="G29" s="23" t="n">
        <v>0</v>
      </c>
      <c r="H29" s="21"/>
    </row>
    <row r="30" customFormat="false" ht="15" hidden="false" customHeight="true" outlineLevel="0" collapsed="false">
      <c r="B30" s="19" t="s">
        <v>186</v>
      </c>
      <c r="C30" s="24" t="s">
        <v>187</v>
      </c>
      <c r="D30" s="19" t="s">
        <v>93</v>
      </c>
      <c r="E30" s="21" t="n">
        <v>10</v>
      </c>
      <c r="F30" s="22" t="s">
        <v>185</v>
      </c>
      <c r="G30" s="23" t="n">
        <v>0</v>
      </c>
      <c r="H30" s="21"/>
    </row>
    <row r="31" customFormat="false" ht="15" hidden="false" customHeight="true" outlineLevel="0" collapsed="false">
      <c r="B31" s="19" t="s">
        <v>174</v>
      </c>
      <c r="C31" s="20" t="s">
        <v>175</v>
      </c>
      <c r="D31" s="19" t="s">
        <v>93</v>
      </c>
      <c r="E31" s="21" t="n">
        <v>10</v>
      </c>
      <c r="F31" s="22" t="s">
        <v>148</v>
      </c>
      <c r="G31" s="23" t="n">
        <v>2200</v>
      </c>
      <c r="H31" s="21" t="s">
        <v>117</v>
      </c>
    </row>
    <row r="32" customFormat="false" ht="15" hidden="false" customHeight="true" outlineLevel="0" collapsed="false">
      <c r="B32" s="19" t="s">
        <v>188</v>
      </c>
      <c r="C32" s="24" t="s">
        <v>189</v>
      </c>
      <c r="D32" s="19" t="s">
        <v>93</v>
      </c>
      <c r="E32" s="21" t="n">
        <v>9</v>
      </c>
      <c r="F32" s="22" t="s">
        <v>132</v>
      </c>
      <c r="G32" s="23" t="n">
        <v>0</v>
      </c>
      <c r="H32" s="21"/>
    </row>
    <row r="33" customFormat="false" ht="15" hidden="false" customHeight="true" outlineLevel="0" collapsed="false">
      <c r="B33" s="19" t="s">
        <v>190</v>
      </c>
      <c r="C33" s="24" t="s">
        <v>191</v>
      </c>
      <c r="D33" s="19" t="s">
        <v>93</v>
      </c>
      <c r="E33" s="21" t="n">
        <v>9</v>
      </c>
      <c r="F33" s="22" t="s">
        <v>148</v>
      </c>
      <c r="G33" s="23" t="n">
        <v>0</v>
      </c>
      <c r="H33" s="21"/>
    </row>
    <row r="34" customFormat="false" ht="15" hidden="false" customHeight="true" outlineLevel="0" collapsed="false">
      <c r="B34" s="19" t="s">
        <v>192</v>
      </c>
      <c r="C34" s="24" t="s">
        <v>193</v>
      </c>
      <c r="D34" s="19" t="s">
        <v>93</v>
      </c>
      <c r="E34" s="21" t="n">
        <v>9</v>
      </c>
      <c r="F34" s="22" t="s">
        <v>185</v>
      </c>
      <c r="G34" s="23" t="n">
        <v>0</v>
      </c>
      <c r="H34" s="21"/>
    </row>
    <row r="35" customFormat="false" ht="15" hidden="false" customHeight="true" outlineLevel="0" collapsed="false">
      <c r="B35" s="19" t="s">
        <v>194</v>
      </c>
      <c r="C35" s="20" t="s">
        <v>195</v>
      </c>
      <c r="D35" s="19" t="s">
        <v>93</v>
      </c>
      <c r="E35" s="21" t="n">
        <v>9</v>
      </c>
      <c r="F35" s="22" t="s">
        <v>185</v>
      </c>
      <c r="G35" s="23" t="n">
        <v>1000</v>
      </c>
      <c r="H35" s="21" t="s">
        <v>117</v>
      </c>
    </row>
    <row r="36" customFormat="false" ht="15" hidden="false" customHeight="true" outlineLevel="0" collapsed="false">
      <c r="B36" s="19" t="s">
        <v>196</v>
      </c>
      <c r="C36" s="20" t="s">
        <v>197</v>
      </c>
      <c r="D36" s="19" t="s">
        <v>198</v>
      </c>
      <c r="E36" s="21" t="n">
        <v>9</v>
      </c>
      <c r="F36" s="22" t="s">
        <v>132</v>
      </c>
      <c r="G36" s="23" t="n">
        <v>950</v>
      </c>
      <c r="H36" s="21" t="s">
        <v>117</v>
      </c>
    </row>
    <row r="37" customFormat="false" ht="15" hidden="false" customHeight="true" outlineLevel="0" collapsed="false">
      <c r="B37" s="19" t="s">
        <v>199</v>
      </c>
      <c r="C37" s="24" t="s">
        <v>200</v>
      </c>
      <c r="D37" s="19" t="s">
        <v>93</v>
      </c>
      <c r="E37" s="21" t="n">
        <v>8</v>
      </c>
      <c r="F37" s="22" t="s">
        <v>155</v>
      </c>
      <c r="G37" s="23" t="n">
        <v>0</v>
      </c>
      <c r="H37" s="21"/>
    </row>
    <row r="38" customFormat="false" ht="15" hidden="false" customHeight="true" outlineLevel="0" collapsed="false">
      <c r="B38" s="19" t="s">
        <v>201</v>
      </c>
      <c r="C38" s="24" t="s">
        <v>202</v>
      </c>
      <c r="D38" s="19" t="s">
        <v>93</v>
      </c>
      <c r="E38" s="21" t="n">
        <v>8</v>
      </c>
      <c r="F38" s="22" t="s">
        <v>139</v>
      </c>
      <c r="G38" s="23" t="n">
        <v>0</v>
      </c>
      <c r="H38" s="21"/>
    </row>
    <row r="39" customFormat="false" ht="15" hidden="false" customHeight="true" outlineLevel="0" collapsed="false">
      <c r="B39" s="19" t="s">
        <v>203</v>
      </c>
      <c r="C39" s="24" t="s">
        <v>204</v>
      </c>
      <c r="D39" s="19" t="s">
        <v>93</v>
      </c>
      <c r="E39" s="21" t="n">
        <v>8</v>
      </c>
      <c r="F39" s="22" t="s">
        <v>148</v>
      </c>
      <c r="G39" s="23" t="n">
        <v>0</v>
      </c>
      <c r="H39" s="21"/>
    </row>
    <row r="40" customFormat="false" ht="15" hidden="false" customHeight="true" outlineLevel="0" collapsed="false">
      <c r="B40" s="19" t="s">
        <v>205</v>
      </c>
      <c r="C40" s="24" t="s">
        <v>206</v>
      </c>
      <c r="D40" s="19" t="s">
        <v>93</v>
      </c>
      <c r="E40" s="21" t="n">
        <v>8</v>
      </c>
      <c r="F40" s="22" t="s">
        <v>155</v>
      </c>
      <c r="G40" s="23" t="n">
        <v>0</v>
      </c>
      <c r="H40" s="21"/>
    </row>
    <row r="41" customFormat="false" ht="15" hidden="false" customHeight="true" outlineLevel="0" collapsed="false">
      <c r="B41" s="19" t="s">
        <v>207</v>
      </c>
      <c r="C41" s="20" t="s">
        <v>208</v>
      </c>
      <c r="D41" s="19" t="s">
        <v>93</v>
      </c>
      <c r="E41" s="21" t="n">
        <v>8</v>
      </c>
      <c r="F41" s="22" t="s">
        <v>185</v>
      </c>
      <c r="G41" s="23" t="n">
        <v>1500</v>
      </c>
      <c r="H41" s="21" t="s">
        <v>117</v>
      </c>
    </row>
    <row r="42" customFormat="false" ht="15" hidden="false" customHeight="true" outlineLevel="0" collapsed="false">
      <c r="B42" s="19" t="s">
        <v>209</v>
      </c>
      <c r="C42" s="20" t="s">
        <v>210</v>
      </c>
      <c r="D42" s="19" t="s">
        <v>93</v>
      </c>
      <c r="E42" s="21" t="n">
        <v>7</v>
      </c>
      <c r="F42" s="22" t="s">
        <v>176</v>
      </c>
      <c r="G42" s="23" t="n">
        <v>950</v>
      </c>
      <c r="H42" s="21" t="s">
        <v>117</v>
      </c>
    </row>
    <row r="43" customFormat="false" ht="15" hidden="false" customHeight="true" outlineLevel="0" collapsed="false">
      <c r="B43" s="19" t="s">
        <v>211</v>
      </c>
      <c r="C43" s="24" t="s">
        <v>212</v>
      </c>
      <c r="D43" s="19" t="s">
        <v>93</v>
      </c>
      <c r="E43" s="21" t="n">
        <v>7</v>
      </c>
      <c r="F43" s="22" t="s">
        <v>213</v>
      </c>
      <c r="G43" s="23" t="n">
        <v>0</v>
      </c>
      <c r="H43" s="21"/>
    </row>
    <row r="44" customFormat="false" ht="15" hidden="false" customHeight="true" outlineLevel="0" collapsed="false">
      <c r="B44" s="19" t="s">
        <v>214</v>
      </c>
      <c r="C44" s="20" t="s">
        <v>215</v>
      </c>
      <c r="D44" s="19" t="s">
        <v>216</v>
      </c>
      <c r="E44" s="21" t="n">
        <v>7</v>
      </c>
      <c r="F44" s="22" t="s">
        <v>185</v>
      </c>
      <c r="G44" s="23" t="n">
        <v>1200</v>
      </c>
      <c r="H44" s="21" t="s">
        <v>117</v>
      </c>
    </row>
    <row r="45" customFormat="false" ht="15" hidden="false" customHeight="true" outlineLevel="0" collapsed="false">
      <c r="B45" s="19" t="s">
        <v>217</v>
      </c>
      <c r="C45" s="24" t="s">
        <v>218</v>
      </c>
      <c r="D45" s="19" t="s">
        <v>93</v>
      </c>
      <c r="E45" s="21" t="n">
        <v>7</v>
      </c>
      <c r="F45" s="22" t="s">
        <v>148</v>
      </c>
      <c r="G45" s="23" t="n">
        <v>0</v>
      </c>
      <c r="H45" s="21"/>
    </row>
    <row r="46" customFormat="false" ht="15" hidden="false" customHeight="true" outlineLevel="0" collapsed="false">
      <c r="B46" s="19" t="s">
        <v>113</v>
      </c>
      <c r="C46" s="20" t="s">
        <v>114</v>
      </c>
      <c r="D46" s="19" t="s">
        <v>115</v>
      </c>
      <c r="E46" s="21" t="n">
        <v>7</v>
      </c>
      <c r="F46" s="22" t="s">
        <v>176</v>
      </c>
      <c r="G46" s="23" t="n">
        <v>4600</v>
      </c>
      <c r="H46" s="21" t="s">
        <v>117</v>
      </c>
    </row>
    <row r="47" customFormat="false" ht="15" hidden="false" customHeight="true" outlineLevel="0" collapsed="false">
      <c r="B47" s="19" t="s">
        <v>219</v>
      </c>
      <c r="C47" s="24" t="s">
        <v>220</v>
      </c>
      <c r="D47" s="19" t="s">
        <v>93</v>
      </c>
      <c r="E47" s="21" t="n">
        <v>6</v>
      </c>
      <c r="F47" s="22" t="s">
        <v>213</v>
      </c>
      <c r="G47" s="23" t="n">
        <v>0</v>
      </c>
      <c r="H47" s="21"/>
    </row>
    <row r="48" customFormat="false" ht="15" hidden="false" customHeight="true" outlineLevel="0" collapsed="false">
      <c r="B48" s="19" t="s">
        <v>221</v>
      </c>
      <c r="C48" s="24" t="s">
        <v>222</v>
      </c>
      <c r="D48" s="19" t="s">
        <v>93</v>
      </c>
      <c r="E48" s="21" t="n">
        <v>6</v>
      </c>
      <c r="F48" s="22" t="s">
        <v>213</v>
      </c>
      <c r="G48" s="23" t="n">
        <v>0</v>
      </c>
      <c r="H48" s="21"/>
    </row>
    <row r="49" customFormat="false" ht="15" hidden="false" customHeight="true" outlineLevel="0" collapsed="false">
      <c r="B49" s="19" t="s">
        <v>223</v>
      </c>
      <c r="C49" s="24" t="s">
        <v>224</v>
      </c>
      <c r="D49" s="19" t="s">
        <v>93</v>
      </c>
      <c r="E49" s="21" t="n">
        <v>6</v>
      </c>
      <c r="F49" s="22" t="s">
        <v>176</v>
      </c>
      <c r="G49" s="23" t="n">
        <v>0</v>
      </c>
      <c r="H49" s="21"/>
    </row>
    <row r="50" customFormat="false" ht="15" hidden="false" customHeight="true" outlineLevel="0" collapsed="false">
      <c r="B50" s="19" t="s">
        <v>225</v>
      </c>
      <c r="C50" s="24" t="s">
        <v>226</v>
      </c>
      <c r="D50" s="19" t="s">
        <v>93</v>
      </c>
      <c r="E50" s="21" t="n">
        <v>6</v>
      </c>
      <c r="F50" s="22" t="s">
        <v>155</v>
      </c>
      <c r="G50" s="23" t="n">
        <v>0</v>
      </c>
      <c r="H50" s="21"/>
    </row>
    <row r="51" customFormat="false" ht="15" hidden="false" customHeight="true" outlineLevel="0" collapsed="false">
      <c r="B51" s="19" t="s">
        <v>227</v>
      </c>
      <c r="C51" s="24" t="s">
        <v>228</v>
      </c>
      <c r="D51" s="19" t="s">
        <v>93</v>
      </c>
      <c r="E51" s="21" t="n">
        <v>6</v>
      </c>
      <c r="F51" s="22" t="s">
        <v>176</v>
      </c>
      <c r="G51" s="23" t="n">
        <v>0</v>
      </c>
      <c r="H51" s="21"/>
    </row>
    <row r="52" customFormat="false" ht="15" hidden="false" customHeight="true" outlineLevel="0" collapsed="false">
      <c r="B52" s="19" t="s">
        <v>229</v>
      </c>
      <c r="C52" s="20" t="s">
        <v>230</v>
      </c>
      <c r="D52" s="19" t="s">
        <v>231</v>
      </c>
      <c r="E52" s="21" t="n">
        <v>5</v>
      </c>
      <c r="F52" s="22" t="s">
        <v>155</v>
      </c>
      <c r="G52" s="23" t="n">
        <v>1500</v>
      </c>
      <c r="H52" s="21" t="s">
        <v>117</v>
      </c>
    </row>
    <row r="53" customFormat="false" ht="15" hidden="false" customHeight="true" outlineLevel="0" collapsed="false">
      <c r="B53" s="19" t="s">
        <v>232</v>
      </c>
      <c r="C53" s="24" t="s">
        <v>233</v>
      </c>
      <c r="D53" s="19" t="s">
        <v>93</v>
      </c>
      <c r="E53" s="21" t="n">
        <v>5</v>
      </c>
      <c r="F53" s="22" t="s">
        <v>155</v>
      </c>
      <c r="G53" s="23" t="n">
        <v>0</v>
      </c>
      <c r="H53" s="21"/>
    </row>
    <row r="54" customFormat="false" ht="15" hidden="false" customHeight="true" outlineLevel="0" collapsed="false">
      <c r="B54" s="19" t="s">
        <v>234</v>
      </c>
      <c r="C54" s="24" t="s">
        <v>235</v>
      </c>
      <c r="D54" s="19" t="s">
        <v>93</v>
      </c>
      <c r="E54" s="21" t="n">
        <v>5</v>
      </c>
      <c r="F54" s="22" t="s">
        <v>155</v>
      </c>
      <c r="G54" s="23" t="n">
        <v>0</v>
      </c>
      <c r="H54" s="21"/>
    </row>
    <row r="55" customFormat="false" ht="15" hidden="false" customHeight="true" outlineLevel="0" collapsed="false">
      <c r="B55" s="19" t="s">
        <v>236</v>
      </c>
      <c r="C55" s="24" t="s">
        <v>237</v>
      </c>
      <c r="D55" s="19" t="s">
        <v>93</v>
      </c>
      <c r="E55" s="21" t="n">
        <v>5</v>
      </c>
      <c r="F55" s="22" t="s">
        <v>155</v>
      </c>
      <c r="G55" s="23" t="n">
        <v>0</v>
      </c>
      <c r="H55" s="21"/>
    </row>
    <row r="56" customFormat="false" ht="15" hidden="false" customHeight="true" outlineLevel="0" collapsed="false">
      <c r="B56" s="19" t="s">
        <v>238</v>
      </c>
      <c r="C56" s="24" t="s">
        <v>239</v>
      </c>
      <c r="D56" s="19" t="s">
        <v>93</v>
      </c>
      <c r="E56" s="21" t="n">
        <v>5</v>
      </c>
      <c r="F56" s="22" t="s">
        <v>155</v>
      </c>
      <c r="G56" s="23" t="n">
        <v>0</v>
      </c>
      <c r="H56" s="21"/>
    </row>
    <row r="57" customFormat="false" ht="15" hidden="false" customHeight="true" outlineLevel="0" collapsed="false">
      <c r="B57" s="19" t="s">
        <v>240</v>
      </c>
      <c r="C57" s="24" t="s">
        <v>241</v>
      </c>
      <c r="D57" s="19" t="s">
        <v>93</v>
      </c>
      <c r="E57" s="21" t="n">
        <v>5</v>
      </c>
      <c r="F57" s="22" t="s">
        <v>213</v>
      </c>
      <c r="G57" s="23" t="n">
        <v>0</v>
      </c>
      <c r="H57" s="21"/>
    </row>
    <row r="58" customFormat="false" ht="15" hidden="false" customHeight="true" outlineLevel="0" collapsed="false">
      <c r="B58" s="19" t="s">
        <v>242</v>
      </c>
      <c r="C58" s="24" t="s">
        <v>243</v>
      </c>
      <c r="D58" s="19" t="s">
        <v>93</v>
      </c>
      <c r="E58" s="21" t="n">
        <v>5</v>
      </c>
      <c r="F58" s="22" t="s">
        <v>213</v>
      </c>
      <c r="G58" s="23" t="n">
        <v>0</v>
      </c>
      <c r="H58" s="21"/>
    </row>
    <row r="59" customFormat="false" ht="15" hidden="false" customHeight="true" outlineLevel="0" collapsed="false">
      <c r="B59" s="19" t="s">
        <v>244</v>
      </c>
      <c r="C59" s="24" t="s">
        <v>245</v>
      </c>
      <c r="D59" s="19" t="s">
        <v>93</v>
      </c>
      <c r="E59" s="21" t="n">
        <v>5</v>
      </c>
      <c r="F59" s="22" t="s">
        <v>213</v>
      </c>
      <c r="G59" s="23" t="n">
        <v>0</v>
      </c>
      <c r="H59" s="21"/>
    </row>
    <row r="60" customFormat="false" ht="15" hidden="false" customHeight="true" outlineLevel="0" collapsed="false">
      <c r="B60" s="19" t="s">
        <v>246</v>
      </c>
      <c r="C60" s="24" t="s">
        <v>247</v>
      </c>
      <c r="D60" s="19" t="s">
        <v>93</v>
      </c>
      <c r="E60" s="21" t="n">
        <v>5</v>
      </c>
      <c r="F60" s="22" t="s">
        <v>155</v>
      </c>
      <c r="G60" s="23" t="n">
        <v>0</v>
      </c>
      <c r="H60" s="21"/>
    </row>
    <row r="61" customFormat="false" ht="15" hidden="false" customHeight="true" outlineLevel="0" collapsed="false">
      <c r="B61" s="19" t="s">
        <v>248</v>
      </c>
      <c r="C61" s="24" t="s">
        <v>249</v>
      </c>
      <c r="D61" s="19" t="s">
        <v>93</v>
      </c>
      <c r="E61" s="21" t="n">
        <v>5</v>
      </c>
      <c r="F61" s="22" t="s">
        <v>213</v>
      </c>
      <c r="G61" s="23" t="n">
        <v>0</v>
      </c>
      <c r="H61" s="21"/>
    </row>
    <row r="62" customFormat="false" ht="15" hidden="false" customHeight="true" outlineLevel="0" collapsed="false">
      <c r="B62" s="19" t="s">
        <v>250</v>
      </c>
      <c r="C62" s="24" t="s">
        <v>251</v>
      </c>
      <c r="D62" s="19" t="s">
        <v>93</v>
      </c>
      <c r="E62" s="21" t="n">
        <v>5</v>
      </c>
      <c r="F62" s="22" t="s">
        <v>213</v>
      </c>
      <c r="G62" s="23" t="n">
        <v>0</v>
      </c>
      <c r="H62" s="21"/>
    </row>
    <row r="63" customFormat="false" ht="15" hidden="false" customHeight="true" outlineLevel="0" collapsed="false">
      <c r="B63" s="19" t="s">
        <v>252</v>
      </c>
      <c r="C63" s="24" t="s">
        <v>253</v>
      </c>
      <c r="D63" s="19" t="s">
        <v>93</v>
      </c>
      <c r="E63" s="21" t="n">
        <v>5</v>
      </c>
      <c r="F63" s="22" t="s">
        <v>155</v>
      </c>
      <c r="G63" s="23" t="n">
        <v>0</v>
      </c>
      <c r="H63" s="21"/>
    </row>
    <row r="64" customFormat="false" ht="15" hidden="false" customHeight="true" outlineLevel="0" collapsed="false">
      <c r="B64" s="19" t="s">
        <v>254</v>
      </c>
      <c r="C64" s="20" t="s">
        <v>255</v>
      </c>
      <c r="D64" s="19" t="s">
        <v>93</v>
      </c>
      <c r="E64" s="21" t="n">
        <v>5</v>
      </c>
      <c r="F64" s="22" t="s">
        <v>148</v>
      </c>
      <c r="G64" s="23" t="n">
        <v>1250</v>
      </c>
      <c r="H64" s="21" t="s">
        <v>117</v>
      </c>
    </row>
    <row r="65" customFormat="false" ht="15" hidden="false" customHeight="true" outlineLevel="0" collapsed="false">
      <c r="B65" s="19" t="s">
        <v>256</v>
      </c>
      <c r="C65" s="24" t="s">
        <v>257</v>
      </c>
      <c r="D65" s="19" t="s">
        <v>93</v>
      </c>
      <c r="E65" s="21" t="n">
        <v>5</v>
      </c>
      <c r="F65" s="22" t="s">
        <v>213</v>
      </c>
      <c r="G65" s="23" t="n">
        <v>0</v>
      </c>
      <c r="H65" s="21"/>
    </row>
    <row r="66" customFormat="false" ht="15" hidden="false" customHeight="true" outlineLevel="0" collapsed="false">
      <c r="B66" s="19" t="s">
        <v>258</v>
      </c>
      <c r="C66" s="24" t="s">
        <v>259</v>
      </c>
      <c r="D66" s="19" t="s">
        <v>93</v>
      </c>
      <c r="E66" s="21" t="n">
        <v>5</v>
      </c>
      <c r="F66" s="22" t="s">
        <v>213</v>
      </c>
      <c r="G66" s="23" t="n">
        <v>0</v>
      </c>
      <c r="H66" s="21"/>
    </row>
    <row r="67" customFormat="false" ht="15" hidden="false" customHeight="true" outlineLevel="0" collapsed="false">
      <c r="B67" s="19" t="s">
        <v>260</v>
      </c>
      <c r="C67" s="24" t="s">
        <v>261</v>
      </c>
      <c r="D67" s="19" t="s">
        <v>93</v>
      </c>
      <c r="E67" s="21" t="n">
        <v>5</v>
      </c>
      <c r="F67" s="22" t="s">
        <v>155</v>
      </c>
      <c r="G67" s="23" t="n">
        <v>0</v>
      </c>
      <c r="H67" s="21"/>
    </row>
    <row r="68" customFormat="false" ht="15" hidden="false" customHeight="true" outlineLevel="0" collapsed="false">
      <c r="B68" s="19" t="s">
        <v>262</v>
      </c>
      <c r="C68" s="24" t="s">
        <v>263</v>
      </c>
      <c r="D68" s="19" t="s">
        <v>93</v>
      </c>
      <c r="E68" s="21" t="n">
        <v>5</v>
      </c>
      <c r="F68" s="22" t="s">
        <v>176</v>
      </c>
      <c r="G68" s="23" t="n">
        <v>0</v>
      </c>
      <c r="H68" s="21"/>
    </row>
    <row r="69" customFormat="false" ht="15" hidden="false" customHeight="true" outlineLevel="0" collapsed="false">
      <c r="B69" s="19" t="s">
        <v>264</v>
      </c>
      <c r="C69" s="24" t="s">
        <v>265</v>
      </c>
      <c r="D69" s="19" t="s">
        <v>93</v>
      </c>
      <c r="E69" s="21" t="n">
        <v>5</v>
      </c>
      <c r="F69" s="22" t="s">
        <v>148</v>
      </c>
      <c r="G69" s="23" t="n">
        <v>0</v>
      </c>
      <c r="H69" s="21"/>
    </row>
    <row r="70" customFormat="false" ht="15" hidden="false" customHeight="true" outlineLevel="0" collapsed="false">
      <c r="B70" s="19" t="s">
        <v>266</v>
      </c>
      <c r="C70" s="24" t="s">
        <v>267</v>
      </c>
      <c r="D70" s="19" t="s">
        <v>93</v>
      </c>
      <c r="E70" s="21" t="n">
        <v>5</v>
      </c>
      <c r="F70" s="22" t="s">
        <v>155</v>
      </c>
      <c r="G70" s="23" t="n">
        <v>0</v>
      </c>
      <c r="H70" s="21"/>
    </row>
    <row r="71" customFormat="false" ht="15" hidden="false" customHeight="true" outlineLevel="0" collapsed="false">
      <c r="B71" s="19" t="s">
        <v>268</v>
      </c>
      <c r="C71" s="24" t="s">
        <v>269</v>
      </c>
      <c r="D71" s="19" t="s">
        <v>93</v>
      </c>
      <c r="E71" s="21" t="n">
        <v>4</v>
      </c>
      <c r="F71" s="22" t="s">
        <v>155</v>
      </c>
      <c r="G71" s="23" t="n">
        <v>0</v>
      </c>
      <c r="H71" s="21"/>
    </row>
    <row r="72" customFormat="false" ht="15" hidden="false" customHeight="true" outlineLevel="0" collapsed="false">
      <c r="B72" s="19" t="s">
        <v>270</v>
      </c>
      <c r="C72" s="24" t="s">
        <v>271</v>
      </c>
      <c r="D72" s="19" t="s">
        <v>93</v>
      </c>
      <c r="E72" s="21" t="n">
        <v>4</v>
      </c>
      <c r="F72" s="22" t="s">
        <v>155</v>
      </c>
      <c r="G72" s="23" t="n">
        <v>0</v>
      </c>
      <c r="H72" s="21"/>
    </row>
    <row r="73" customFormat="false" ht="15" hidden="false" customHeight="true" outlineLevel="0" collapsed="false">
      <c r="B73" s="19" t="s">
        <v>272</v>
      </c>
      <c r="C73" s="20" t="s">
        <v>273</v>
      </c>
      <c r="D73" s="19" t="s">
        <v>93</v>
      </c>
      <c r="E73" s="21" t="n">
        <v>4</v>
      </c>
      <c r="F73" s="22" t="s">
        <v>155</v>
      </c>
      <c r="G73" s="23" t="n">
        <v>1200</v>
      </c>
      <c r="H73" s="21" t="s">
        <v>117</v>
      </c>
    </row>
    <row r="74" customFormat="false" ht="15" hidden="false" customHeight="true" outlineLevel="0" collapsed="false">
      <c r="B74" s="19" t="s">
        <v>274</v>
      </c>
      <c r="C74" s="24" t="s">
        <v>275</v>
      </c>
      <c r="D74" s="19" t="s">
        <v>93</v>
      </c>
      <c r="E74" s="21" t="n">
        <v>4</v>
      </c>
      <c r="F74" s="22" t="s">
        <v>155</v>
      </c>
      <c r="G74" s="23" t="n">
        <v>0</v>
      </c>
      <c r="H74" s="21"/>
    </row>
    <row r="75" customFormat="false" ht="15" hidden="false" customHeight="true" outlineLevel="0" collapsed="false">
      <c r="B75" s="19" t="s">
        <v>276</v>
      </c>
      <c r="C75" s="24" t="s">
        <v>277</v>
      </c>
      <c r="D75" s="19" t="s">
        <v>93</v>
      </c>
      <c r="E75" s="21" t="n">
        <v>4</v>
      </c>
      <c r="F75" s="22" t="s">
        <v>213</v>
      </c>
      <c r="G75" s="23" t="n">
        <v>0</v>
      </c>
      <c r="H75" s="21"/>
    </row>
    <row r="76" customFormat="false" ht="15" hidden="false" customHeight="true" outlineLevel="0" collapsed="false">
      <c r="B76" s="19" t="s">
        <v>278</v>
      </c>
      <c r="C76" s="24" t="s">
        <v>279</v>
      </c>
      <c r="D76" s="19" t="s">
        <v>93</v>
      </c>
      <c r="E76" s="21" t="n">
        <v>4</v>
      </c>
      <c r="F76" s="22" t="s">
        <v>213</v>
      </c>
      <c r="G76" s="23" t="n">
        <v>0</v>
      </c>
      <c r="H76" s="21"/>
    </row>
    <row r="77" customFormat="false" ht="15" hidden="false" customHeight="true" outlineLevel="0" collapsed="false">
      <c r="B77" s="19" t="s">
        <v>280</v>
      </c>
      <c r="C77" s="20" t="s">
        <v>281</v>
      </c>
      <c r="D77" s="19" t="s">
        <v>282</v>
      </c>
      <c r="E77" s="21" t="n">
        <v>4</v>
      </c>
      <c r="F77" s="22" t="s">
        <v>176</v>
      </c>
      <c r="G77" s="23" t="n">
        <v>1200</v>
      </c>
      <c r="H77" s="21" t="s">
        <v>117</v>
      </c>
    </row>
    <row r="78" customFormat="false" ht="15" hidden="false" customHeight="true" outlineLevel="0" collapsed="false">
      <c r="B78" s="19" t="s">
        <v>283</v>
      </c>
      <c r="C78" s="24" t="s">
        <v>284</v>
      </c>
      <c r="D78" s="19" t="s">
        <v>93</v>
      </c>
      <c r="E78" s="21" t="n">
        <v>4</v>
      </c>
      <c r="F78" s="22" t="s">
        <v>213</v>
      </c>
      <c r="G78" s="23" t="n">
        <v>0</v>
      </c>
      <c r="H78" s="21"/>
    </row>
    <row r="79" customFormat="false" ht="15" hidden="false" customHeight="true" outlineLevel="0" collapsed="false">
      <c r="B79" s="19" t="s">
        <v>285</v>
      </c>
      <c r="C79" s="24" t="s">
        <v>286</v>
      </c>
      <c r="D79" s="19" t="s">
        <v>93</v>
      </c>
      <c r="E79" s="21" t="n">
        <v>4</v>
      </c>
      <c r="F79" s="22" t="s">
        <v>213</v>
      </c>
      <c r="G79" s="23" t="n">
        <v>0</v>
      </c>
      <c r="H79" s="21"/>
    </row>
    <row r="80" customFormat="false" ht="15" hidden="false" customHeight="true" outlineLevel="0" collapsed="false">
      <c r="B80" s="19" t="s">
        <v>287</v>
      </c>
      <c r="C80" s="24" t="s">
        <v>288</v>
      </c>
      <c r="D80" s="19" t="s">
        <v>93</v>
      </c>
      <c r="E80" s="21" t="n">
        <v>4</v>
      </c>
      <c r="F80" s="22" t="s">
        <v>213</v>
      </c>
      <c r="G80" s="23" t="n">
        <v>0</v>
      </c>
      <c r="H80" s="21"/>
    </row>
    <row r="81" customFormat="false" ht="15" hidden="false" customHeight="true" outlineLevel="0" collapsed="false">
      <c r="B81" s="19" t="s">
        <v>289</v>
      </c>
      <c r="C81" s="24" t="s">
        <v>290</v>
      </c>
      <c r="D81" s="19" t="s">
        <v>93</v>
      </c>
      <c r="E81" s="21" t="n">
        <v>4</v>
      </c>
      <c r="F81" s="22" t="s">
        <v>155</v>
      </c>
      <c r="G81" s="23" t="n">
        <v>0</v>
      </c>
      <c r="H81" s="21"/>
    </row>
    <row r="82" customFormat="false" ht="15" hidden="false" customHeight="true" outlineLevel="0" collapsed="false">
      <c r="B82" s="19" t="s">
        <v>291</v>
      </c>
      <c r="C82" s="24" t="s">
        <v>292</v>
      </c>
      <c r="D82" s="19" t="s">
        <v>93</v>
      </c>
      <c r="E82" s="21" t="n">
        <v>4</v>
      </c>
      <c r="F82" s="22" t="s">
        <v>155</v>
      </c>
      <c r="G82" s="23" t="n">
        <v>0</v>
      </c>
      <c r="H82" s="21"/>
    </row>
    <row r="83" customFormat="false" ht="15" hidden="false" customHeight="true" outlineLevel="0" collapsed="false">
      <c r="B83" s="19" t="s">
        <v>293</v>
      </c>
      <c r="C83" s="24" t="s">
        <v>294</v>
      </c>
      <c r="D83" s="19" t="s">
        <v>93</v>
      </c>
      <c r="E83" s="21" t="n">
        <v>4</v>
      </c>
      <c r="F83" s="22" t="s">
        <v>176</v>
      </c>
      <c r="G83" s="23" t="n">
        <v>0</v>
      </c>
      <c r="H83" s="21"/>
    </row>
    <row r="84" customFormat="false" ht="15" hidden="false" customHeight="true" outlineLevel="0" collapsed="false">
      <c r="B84" s="19" t="s">
        <v>295</v>
      </c>
      <c r="C84" s="24" t="s">
        <v>296</v>
      </c>
      <c r="D84" s="19" t="s">
        <v>93</v>
      </c>
      <c r="E84" s="21" t="n">
        <v>4</v>
      </c>
      <c r="F84" s="22" t="s">
        <v>155</v>
      </c>
      <c r="G84" s="23" t="n">
        <v>0</v>
      </c>
      <c r="H84" s="21"/>
    </row>
    <row r="85" customFormat="false" ht="15" hidden="false" customHeight="true" outlineLevel="0" collapsed="false">
      <c r="B85" s="19" t="s">
        <v>297</v>
      </c>
      <c r="C85" s="24" t="s">
        <v>298</v>
      </c>
      <c r="D85" s="19" t="s">
        <v>93</v>
      </c>
      <c r="E85" s="21" t="n">
        <v>4</v>
      </c>
      <c r="F85" s="22" t="s">
        <v>213</v>
      </c>
      <c r="G85" s="23" t="n">
        <v>0</v>
      </c>
      <c r="H85" s="21"/>
    </row>
    <row r="86" customFormat="false" ht="15" hidden="false" customHeight="true" outlineLevel="0" collapsed="false">
      <c r="B86" s="19" t="s">
        <v>299</v>
      </c>
      <c r="C86" s="24" t="s">
        <v>300</v>
      </c>
      <c r="D86" s="19" t="s">
        <v>93</v>
      </c>
      <c r="E86" s="21" t="n">
        <v>4</v>
      </c>
      <c r="F86" s="22" t="s">
        <v>176</v>
      </c>
      <c r="G86" s="23" t="n">
        <v>0</v>
      </c>
      <c r="H86" s="21"/>
    </row>
    <row r="87" customFormat="false" ht="15" hidden="false" customHeight="true" outlineLevel="0" collapsed="false">
      <c r="B87" s="19" t="s">
        <v>301</v>
      </c>
      <c r="C87" s="24" t="s">
        <v>302</v>
      </c>
      <c r="D87" s="19" t="s">
        <v>93</v>
      </c>
      <c r="E87" s="21" t="n">
        <v>4</v>
      </c>
      <c r="F87" s="22" t="s">
        <v>213</v>
      </c>
      <c r="G87" s="23" t="n">
        <v>0</v>
      </c>
      <c r="H87" s="21"/>
    </row>
    <row r="88" customFormat="false" ht="15" hidden="false" customHeight="true" outlineLevel="0" collapsed="false">
      <c r="B88" s="19" t="s">
        <v>174</v>
      </c>
      <c r="C88" s="20" t="s">
        <v>175</v>
      </c>
      <c r="D88" s="19" t="s">
        <v>93</v>
      </c>
      <c r="E88" s="21" t="n">
        <v>4</v>
      </c>
      <c r="F88" s="22" t="s">
        <v>148</v>
      </c>
      <c r="G88" s="23" t="n">
        <v>2200</v>
      </c>
      <c r="H88" s="21" t="s">
        <v>117</v>
      </c>
    </row>
    <row r="89" customFormat="false" ht="15" hidden="false" customHeight="true" outlineLevel="0" collapsed="false">
      <c r="B89" s="19" t="s">
        <v>303</v>
      </c>
      <c r="C89" s="24" t="s">
        <v>304</v>
      </c>
      <c r="D89" s="19" t="s">
        <v>93</v>
      </c>
      <c r="E89" s="21" t="n">
        <v>4</v>
      </c>
      <c r="F89" s="22" t="s">
        <v>155</v>
      </c>
      <c r="G89" s="23" t="n">
        <v>0</v>
      </c>
      <c r="H89" s="21"/>
    </row>
    <row r="90" customFormat="false" ht="15" hidden="false" customHeight="true" outlineLevel="0" collapsed="false">
      <c r="B90" s="19" t="s">
        <v>305</v>
      </c>
      <c r="C90" s="24" t="s">
        <v>306</v>
      </c>
      <c r="D90" s="19" t="s">
        <v>93</v>
      </c>
      <c r="E90" s="21" t="n">
        <v>4</v>
      </c>
      <c r="F90" s="22" t="s">
        <v>213</v>
      </c>
      <c r="G90" s="23" t="n">
        <v>0</v>
      </c>
      <c r="H90" s="21"/>
    </row>
    <row r="91" customFormat="false" ht="15" hidden="false" customHeight="true" outlineLevel="0" collapsed="false">
      <c r="B91" s="19" t="s">
        <v>307</v>
      </c>
      <c r="C91" s="24" t="s">
        <v>308</v>
      </c>
      <c r="D91" s="19" t="s">
        <v>93</v>
      </c>
      <c r="E91" s="21" t="n">
        <v>3</v>
      </c>
      <c r="F91" s="22" t="s">
        <v>213</v>
      </c>
      <c r="G91" s="23" t="n">
        <v>0</v>
      </c>
      <c r="H91" s="21"/>
    </row>
    <row r="92" customFormat="false" ht="15" hidden="false" customHeight="true" outlineLevel="0" collapsed="false">
      <c r="B92" s="19" t="s">
        <v>309</v>
      </c>
      <c r="C92" s="24" t="s">
        <v>310</v>
      </c>
      <c r="D92" s="19" t="s">
        <v>93</v>
      </c>
      <c r="E92" s="21" t="n">
        <v>3</v>
      </c>
      <c r="F92" s="22" t="s">
        <v>155</v>
      </c>
      <c r="G92" s="23" t="n">
        <v>0</v>
      </c>
      <c r="H92" s="21"/>
    </row>
    <row r="93" customFormat="false" ht="15" hidden="false" customHeight="true" outlineLevel="0" collapsed="false">
      <c r="B93" s="19" t="s">
        <v>311</v>
      </c>
      <c r="C93" s="24" t="s">
        <v>312</v>
      </c>
      <c r="D93" s="19" t="s">
        <v>93</v>
      </c>
      <c r="E93" s="21" t="n">
        <v>3</v>
      </c>
      <c r="F93" s="22" t="s">
        <v>213</v>
      </c>
      <c r="G93" s="23" t="n">
        <v>0</v>
      </c>
      <c r="H93" s="21"/>
    </row>
    <row r="94" customFormat="false" ht="15" hidden="false" customHeight="true" outlineLevel="0" collapsed="false">
      <c r="B94" s="19" t="s">
        <v>313</v>
      </c>
      <c r="C94" s="24" t="s">
        <v>314</v>
      </c>
      <c r="D94" s="19" t="s">
        <v>93</v>
      </c>
      <c r="E94" s="21" t="n">
        <v>3</v>
      </c>
      <c r="F94" s="22" t="s">
        <v>213</v>
      </c>
      <c r="G94" s="23" t="n">
        <v>0</v>
      </c>
      <c r="H94" s="21"/>
    </row>
    <row r="95" customFormat="false" ht="15" hidden="false" customHeight="true" outlineLevel="0" collapsed="false">
      <c r="B95" s="19" t="s">
        <v>315</v>
      </c>
      <c r="C95" s="24" t="s">
        <v>316</v>
      </c>
      <c r="D95" s="19" t="s">
        <v>93</v>
      </c>
      <c r="E95" s="21" t="n">
        <v>3</v>
      </c>
      <c r="F95" s="22" t="s">
        <v>176</v>
      </c>
      <c r="G95" s="23" t="n">
        <v>0</v>
      </c>
      <c r="H95" s="21"/>
    </row>
    <row r="96" customFormat="false" ht="15" hidden="false" customHeight="true" outlineLevel="0" collapsed="false">
      <c r="B96" s="19" t="s">
        <v>317</v>
      </c>
      <c r="C96" s="24" t="s">
        <v>318</v>
      </c>
      <c r="D96" s="19" t="s">
        <v>93</v>
      </c>
      <c r="E96" s="21" t="n">
        <v>3</v>
      </c>
      <c r="F96" s="22" t="s">
        <v>155</v>
      </c>
      <c r="G96" s="23" t="n">
        <v>0</v>
      </c>
      <c r="H96" s="21"/>
    </row>
    <row r="97" customFormat="false" ht="15" hidden="false" customHeight="true" outlineLevel="0" collapsed="false">
      <c r="B97" s="19" t="s">
        <v>319</v>
      </c>
      <c r="C97" s="24" t="s">
        <v>320</v>
      </c>
      <c r="D97" s="19" t="s">
        <v>93</v>
      </c>
      <c r="E97" s="21" t="n">
        <v>3</v>
      </c>
      <c r="F97" s="22" t="s">
        <v>213</v>
      </c>
      <c r="G97" s="23" t="n">
        <v>0</v>
      </c>
      <c r="H97" s="21"/>
    </row>
    <row r="98" customFormat="false" ht="15" hidden="false" customHeight="true" outlineLevel="0" collapsed="false">
      <c r="B98" s="19" t="s">
        <v>321</v>
      </c>
      <c r="C98" s="24" t="s">
        <v>322</v>
      </c>
      <c r="D98" s="19" t="s">
        <v>93</v>
      </c>
      <c r="E98" s="21" t="n">
        <v>3</v>
      </c>
      <c r="F98" s="22" t="s">
        <v>213</v>
      </c>
      <c r="G98" s="23" t="n">
        <v>0</v>
      </c>
      <c r="H98" s="21"/>
    </row>
    <row r="99" customFormat="false" ht="15" hidden="false" customHeight="true" outlineLevel="0" collapsed="false">
      <c r="B99" s="19" t="s">
        <v>323</v>
      </c>
      <c r="C99" s="24" t="s">
        <v>324</v>
      </c>
      <c r="D99" s="19" t="s">
        <v>93</v>
      </c>
      <c r="E99" s="21" t="n">
        <v>3</v>
      </c>
      <c r="F99" s="22" t="s">
        <v>155</v>
      </c>
      <c r="G99" s="23" t="n">
        <v>0</v>
      </c>
      <c r="H99" s="21"/>
    </row>
    <row r="100" customFormat="false" ht="15" hidden="false" customHeight="true" outlineLevel="0" collapsed="false">
      <c r="B100" s="19" t="s">
        <v>325</v>
      </c>
      <c r="C100" s="20" t="s">
        <v>326</v>
      </c>
      <c r="D100" s="19" t="s">
        <v>93</v>
      </c>
      <c r="E100" s="21" t="n">
        <v>3</v>
      </c>
      <c r="F100" s="22" t="s">
        <v>176</v>
      </c>
      <c r="G100" s="23" t="n">
        <v>1050</v>
      </c>
      <c r="H100" s="21" t="s">
        <v>117</v>
      </c>
    </row>
    <row r="101" customFormat="false" ht="15" hidden="false" customHeight="true" outlineLevel="0" collapsed="false">
      <c r="B101" s="19" t="s">
        <v>327</v>
      </c>
      <c r="C101" s="24" t="s">
        <v>328</v>
      </c>
      <c r="D101" s="19" t="s">
        <v>93</v>
      </c>
      <c r="E101" s="21" t="n">
        <v>3</v>
      </c>
      <c r="F101" s="22" t="s">
        <v>155</v>
      </c>
      <c r="G101" s="23" t="n">
        <v>0</v>
      </c>
      <c r="H101" s="21"/>
    </row>
    <row r="102" customFormat="false" ht="15" hidden="false" customHeight="true" outlineLevel="0" collapsed="false">
      <c r="B102" s="19" t="s">
        <v>329</v>
      </c>
      <c r="C102" s="24" t="s">
        <v>330</v>
      </c>
      <c r="D102" s="19" t="s">
        <v>93</v>
      </c>
      <c r="E102" s="21" t="n">
        <v>3</v>
      </c>
      <c r="F102" s="22" t="s">
        <v>213</v>
      </c>
      <c r="G102" s="23" t="n">
        <v>0</v>
      </c>
      <c r="H102" s="21"/>
    </row>
    <row r="103" customFormat="false" ht="15" hidden="false" customHeight="true" outlineLevel="0" collapsed="false">
      <c r="B103" s="19" t="s">
        <v>331</v>
      </c>
      <c r="C103" s="20" t="s">
        <v>332</v>
      </c>
      <c r="D103" s="19" t="s">
        <v>93</v>
      </c>
      <c r="E103" s="21" t="n">
        <v>3</v>
      </c>
      <c r="F103" s="22" t="s">
        <v>155</v>
      </c>
      <c r="G103" s="23" t="n">
        <v>950</v>
      </c>
      <c r="H103" s="21" t="s">
        <v>117</v>
      </c>
    </row>
    <row r="104" customFormat="false" ht="15" hidden="false" customHeight="true" outlineLevel="0" collapsed="false">
      <c r="B104" s="19" t="s">
        <v>333</v>
      </c>
      <c r="C104" s="24" t="s">
        <v>334</v>
      </c>
      <c r="D104" s="19" t="s">
        <v>93</v>
      </c>
      <c r="E104" s="21" t="n">
        <v>3</v>
      </c>
      <c r="F104" s="22" t="s">
        <v>155</v>
      </c>
      <c r="G104" s="23" t="n">
        <v>0</v>
      </c>
      <c r="H104" s="21"/>
    </row>
    <row r="105" customFormat="false" ht="15" hidden="false" customHeight="true" outlineLevel="0" collapsed="false">
      <c r="B105" s="19" t="s">
        <v>335</v>
      </c>
      <c r="C105" s="24" t="s">
        <v>336</v>
      </c>
      <c r="D105" s="19" t="s">
        <v>93</v>
      </c>
      <c r="E105" s="21" t="n">
        <v>3</v>
      </c>
      <c r="F105" s="22" t="s">
        <v>176</v>
      </c>
      <c r="G105" s="23" t="n">
        <v>0</v>
      </c>
      <c r="H105" s="21"/>
    </row>
    <row r="106" customFormat="false" ht="15" hidden="false" customHeight="true" outlineLevel="0" collapsed="false">
      <c r="B106" s="19" t="s">
        <v>337</v>
      </c>
      <c r="C106" s="24" t="s">
        <v>338</v>
      </c>
      <c r="D106" s="19" t="s">
        <v>93</v>
      </c>
      <c r="E106" s="21" t="n">
        <v>2</v>
      </c>
      <c r="F106" s="22" t="s">
        <v>213</v>
      </c>
      <c r="G106" s="23" t="n">
        <v>0</v>
      </c>
      <c r="H106" s="21"/>
    </row>
    <row r="107" customFormat="false" ht="15" hidden="false" customHeight="true" outlineLevel="0" collapsed="false">
      <c r="B107" s="19" t="s">
        <v>339</v>
      </c>
      <c r="C107" s="24" t="s">
        <v>340</v>
      </c>
      <c r="D107" s="19" t="s">
        <v>93</v>
      </c>
      <c r="E107" s="21" t="n">
        <v>2</v>
      </c>
      <c r="F107" s="22" t="s">
        <v>213</v>
      </c>
      <c r="G107" s="23" t="n">
        <v>0</v>
      </c>
      <c r="H107" s="21"/>
    </row>
    <row r="108" customFormat="false" ht="15" hidden="false" customHeight="true" outlineLevel="0" collapsed="false">
      <c r="B108" s="19" t="s">
        <v>341</v>
      </c>
      <c r="C108" s="24" t="s">
        <v>342</v>
      </c>
      <c r="D108" s="19" t="s">
        <v>93</v>
      </c>
      <c r="E108" s="21" t="n">
        <v>2</v>
      </c>
      <c r="F108" s="22" t="s">
        <v>213</v>
      </c>
      <c r="G108" s="23" t="n">
        <v>0</v>
      </c>
      <c r="H108" s="21"/>
    </row>
    <row r="109" customFormat="false" ht="15" hidden="false" customHeight="true" outlineLevel="0" collapsed="false">
      <c r="B109" s="19" t="s">
        <v>343</v>
      </c>
      <c r="C109" s="24" t="s">
        <v>344</v>
      </c>
      <c r="D109" s="19" t="s">
        <v>93</v>
      </c>
      <c r="E109" s="21" t="n">
        <v>2</v>
      </c>
      <c r="F109" s="22" t="s">
        <v>213</v>
      </c>
      <c r="G109" s="23" t="n">
        <v>0</v>
      </c>
      <c r="H109" s="21"/>
    </row>
    <row r="110" customFormat="false" ht="15" hidden="false" customHeight="true" outlineLevel="0" collapsed="false">
      <c r="B110" s="19" t="s">
        <v>345</v>
      </c>
      <c r="C110" s="24" t="s">
        <v>346</v>
      </c>
      <c r="D110" s="19" t="s">
        <v>93</v>
      </c>
      <c r="E110" s="21" t="n">
        <v>2</v>
      </c>
      <c r="F110" s="22" t="s">
        <v>155</v>
      </c>
      <c r="G110" s="23" t="n">
        <v>0</v>
      </c>
      <c r="H110" s="21"/>
    </row>
    <row r="111" customFormat="false" ht="15" hidden="false" customHeight="true" outlineLevel="0" collapsed="false">
      <c r="B111" s="19" t="s">
        <v>347</v>
      </c>
      <c r="C111" s="24" t="s">
        <v>348</v>
      </c>
      <c r="D111" s="19" t="s">
        <v>93</v>
      </c>
      <c r="E111" s="21" t="n">
        <v>2</v>
      </c>
      <c r="F111" s="22" t="s">
        <v>213</v>
      </c>
      <c r="G111" s="23" t="n">
        <v>0</v>
      </c>
      <c r="H111" s="21"/>
    </row>
    <row r="112" customFormat="false" ht="15" hidden="false" customHeight="true" outlineLevel="0" collapsed="false">
      <c r="B112" s="19" t="s">
        <v>349</v>
      </c>
      <c r="C112" s="24" t="s">
        <v>350</v>
      </c>
      <c r="D112" s="19" t="s">
        <v>93</v>
      </c>
      <c r="E112" s="21" t="n">
        <v>2</v>
      </c>
      <c r="F112" s="22" t="s">
        <v>213</v>
      </c>
      <c r="G112" s="23" t="n">
        <v>0</v>
      </c>
      <c r="H112" s="21"/>
    </row>
    <row r="113" customFormat="false" ht="15" hidden="false" customHeight="true" outlineLevel="0" collapsed="false">
      <c r="B113" s="19" t="s">
        <v>351</v>
      </c>
      <c r="C113" s="24" t="s">
        <v>352</v>
      </c>
      <c r="D113" s="19" t="s">
        <v>93</v>
      </c>
      <c r="E113" s="21" t="n">
        <v>2</v>
      </c>
      <c r="F113" s="22" t="s">
        <v>213</v>
      </c>
      <c r="G113" s="23" t="n">
        <v>0</v>
      </c>
      <c r="H113" s="21"/>
    </row>
    <row r="114" customFormat="false" ht="15" hidden="false" customHeight="true" outlineLevel="0" collapsed="false">
      <c r="B114" s="19" t="s">
        <v>353</v>
      </c>
      <c r="C114" s="24" t="s">
        <v>354</v>
      </c>
      <c r="D114" s="19" t="s">
        <v>93</v>
      </c>
      <c r="E114" s="21" t="n">
        <v>2</v>
      </c>
      <c r="F114" s="22" t="s">
        <v>213</v>
      </c>
      <c r="G114" s="23" t="n">
        <v>0</v>
      </c>
      <c r="H114" s="21"/>
    </row>
    <row r="115" customFormat="false" ht="15" hidden="false" customHeight="true" outlineLevel="0" collapsed="false">
      <c r="B115" s="19" t="s">
        <v>355</v>
      </c>
      <c r="C115" s="24" t="s">
        <v>356</v>
      </c>
      <c r="D115" s="19" t="s">
        <v>93</v>
      </c>
      <c r="E115" s="21" t="n">
        <v>2</v>
      </c>
      <c r="F115" s="22" t="s">
        <v>213</v>
      </c>
      <c r="G115" s="23" t="n">
        <v>0</v>
      </c>
      <c r="H115" s="21"/>
    </row>
    <row r="116" customFormat="false" ht="15" hidden="false" customHeight="true" outlineLevel="0" collapsed="false">
      <c r="B116" s="19" t="s">
        <v>357</v>
      </c>
      <c r="C116" s="24" t="s">
        <v>358</v>
      </c>
      <c r="D116" s="19" t="s">
        <v>93</v>
      </c>
      <c r="E116" s="21" t="n">
        <v>2</v>
      </c>
      <c r="F116" s="22" t="s">
        <v>213</v>
      </c>
      <c r="G116" s="23" t="n">
        <v>0</v>
      </c>
      <c r="H116" s="21"/>
    </row>
    <row r="117" customFormat="false" ht="15" hidden="false" customHeight="true" outlineLevel="0" collapsed="false">
      <c r="B117" s="19" t="s">
        <v>359</v>
      </c>
      <c r="C117" s="24" t="s">
        <v>360</v>
      </c>
      <c r="D117" s="19" t="s">
        <v>93</v>
      </c>
      <c r="E117" s="21" t="n">
        <v>2</v>
      </c>
      <c r="F117" s="22" t="s">
        <v>213</v>
      </c>
      <c r="G117" s="23" t="n">
        <v>0</v>
      </c>
      <c r="H117" s="21"/>
    </row>
    <row r="118" customFormat="false" ht="15" hidden="false" customHeight="true" outlineLevel="0" collapsed="false">
      <c r="B118" s="19" t="s">
        <v>361</v>
      </c>
      <c r="C118" s="24" t="s">
        <v>362</v>
      </c>
      <c r="D118" s="19" t="s">
        <v>93</v>
      </c>
      <c r="E118" s="21" t="n">
        <v>2</v>
      </c>
      <c r="F118" s="22" t="s">
        <v>213</v>
      </c>
      <c r="G118" s="23" t="n">
        <v>0</v>
      </c>
      <c r="H118" s="21"/>
    </row>
    <row r="119" customFormat="false" ht="15" hidden="false" customHeight="true" outlineLevel="0" collapsed="false">
      <c r="B119" s="19" t="s">
        <v>363</v>
      </c>
      <c r="C119" s="24" t="s">
        <v>364</v>
      </c>
      <c r="D119" s="19" t="s">
        <v>93</v>
      </c>
      <c r="E119" s="21" t="n">
        <v>2</v>
      </c>
      <c r="F119" s="22" t="s">
        <v>155</v>
      </c>
      <c r="G119" s="23" t="n">
        <v>0</v>
      </c>
      <c r="H119" s="21"/>
    </row>
    <row r="120" customFormat="false" ht="15" hidden="false" customHeight="true" outlineLevel="0" collapsed="false">
      <c r="B120" s="19" t="s">
        <v>365</v>
      </c>
      <c r="C120" s="24" t="s">
        <v>366</v>
      </c>
      <c r="D120" s="19" t="s">
        <v>93</v>
      </c>
      <c r="E120" s="21" t="n">
        <v>2</v>
      </c>
      <c r="F120" s="22" t="s">
        <v>213</v>
      </c>
      <c r="G120" s="23" t="n">
        <v>0</v>
      </c>
      <c r="H120" s="21"/>
    </row>
    <row r="121" customFormat="false" ht="15" hidden="false" customHeight="true" outlineLevel="0" collapsed="false">
      <c r="B121" s="19" t="s">
        <v>367</v>
      </c>
      <c r="C121" s="24" t="s">
        <v>368</v>
      </c>
      <c r="D121" s="19" t="s">
        <v>93</v>
      </c>
      <c r="E121" s="21" t="n">
        <v>2</v>
      </c>
      <c r="F121" s="22" t="s">
        <v>213</v>
      </c>
      <c r="G121" s="23" t="n">
        <v>0</v>
      </c>
      <c r="H121" s="21"/>
    </row>
    <row r="122" customFormat="false" ht="15" hidden="false" customHeight="true" outlineLevel="0" collapsed="false">
      <c r="B122" s="19" t="s">
        <v>369</v>
      </c>
      <c r="C122" s="24" t="s">
        <v>370</v>
      </c>
      <c r="D122" s="19" t="s">
        <v>93</v>
      </c>
      <c r="E122" s="21" t="n">
        <v>2</v>
      </c>
      <c r="F122" s="22" t="s">
        <v>155</v>
      </c>
      <c r="G122" s="23" t="n">
        <v>0</v>
      </c>
      <c r="H122" s="21"/>
    </row>
    <row r="123" customFormat="false" ht="15" hidden="false" customHeight="true" outlineLevel="0" collapsed="false">
      <c r="B123" s="19" t="s">
        <v>371</v>
      </c>
      <c r="C123" s="24" t="s">
        <v>372</v>
      </c>
      <c r="D123" s="19" t="s">
        <v>93</v>
      </c>
      <c r="E123" s="21" t="n">
        <v>2</v>
      </c>
      <c r="F123" s="22" t="s">
        <v>213</v>
      </c>
      <c r="G123" s="23" t="n">
        <v>0</v>
      </c>
      <c r="H123" s="21"/>
    </row>
    <row r="124" customFormat="false" ht="15" hidden="false" customHeight="true" outlineLevel="0" collapsed="false">
      <c r="B124" s="19" t="s">
        <v>373</v>
      </c>
      <c r="C124" s="24" t="s">
        <v>374</v>
      </c>
      <c r="D124" s="19" t="s">
        <v>93</v>
      </c>
      <c r="E124" s="21" t="n">
        <v>2</v>
      </c>
      <c r="F124" s="22" t="s">
        <v>213</v>
      </c>
      <c r="G124" s="23" t="n">
        <v>0</v>
      </c>
      <c r="H124" s="21"/>
    </row>
    <row r="125" customFormat="false" ht="15" hidden="false" customHeight="true" outlineLevel="0" collapsed="false">
      <c r="B125" s="19" t="s">
        <v>375</v>
      </c>
      <c r="C125" s="24" t="s">
        <v>376</v>
      </c>
      <c r="D125" s="19" t="s">
        <v>93</v>
      </c>
      <c r="E125" s="21" t="n">
        <v>2</v>
      </c>
      <c r="F125" s="22" t="s">
        <v>213</v>
      </c>
      <c r="G125" s="23" t="n">
        <v>0</v>
      </c>
      <c r="H125" s="21"/>
    </row>
    <row r="126" customFormat="false" ht="15" hidden="false" customHeight="true" outlineLevel="0" collapsed="false">
      <c r="B126" s="19" t="s">
        <v>377</v>
      </c>
      <c r="C126" s="24" t="s">
        <v>378</v>
      </c>
      <c r="D126" s="19" t="s">
        <v>93</v>
      </c>
      <c r="E126" s="21" t="n">
        <v>2</v>
      </c>
      <c r="F126" s="22" t="s">
        <v>213</v>
      </c>
      <c r="G126" s="23" t="n">
        <v>0</v>
      </c>
      <c r="H126" s="21"/>
    </row>
    <row r="127" customFormat="false" ht="15" hidden="false" customHeight="true" outlineLevel="0" collapsed="false">
      <c r="B127" s="19" t="s">
        <v>379</v>
      </c>
      <c r="C127" s="24" t="s">
        <v>380</v>
      </c>
      <c r="D127" s="19" t="s">
        <v>93</v>
      </c>
      <c r="E127" s="21" t="n">
        <v>2</v>
      </c>
      <c r="F127" s="22" t="s">
        <v>155</v>
      </c>
      <c r="G127" s="23" t="n">
        <v>0</v>
      </c>
      <c r="H127" s="21"/>
    </row>
    <row r="128" customFormat="false" ht="15" hidden="false" customHeight="true" outlineLevel="0" collapsed="false">
      <c r="B128" s="19" t="s">
        <v>381</v>
      </c>
      <c r="C128" s="24" t="s">
        <v>382</v>
      </c>
      <c r="D128" s="19" t="s">
        <v>93</v>
      </c>
      <c r="E128" s="21" t="n">
        <v>2</v>
      </c>
      <c r="F128" s="22" t="s">
        <v>155</v>
      </c>
      <c r="G128" s="23" t="n">
        <v>0</v>
      </c>
      <c r="H128" s="21"/>
    </row>
    <row r="129" customFormat="false" ht="15" hidden="false" customHeight="true" outlineLevel="0" collapsed="false">
      <c r="B129" s="19" t="s">
        <v>383</v>
      </c>
      <c r="C129" s="24" t="s">
        <v>384</v>
      </c>
      <c r="D129" s="19" t="s">
        <v>93</v>
      </c>
      <c r="E129" s="21" t="n">
        <v>2</v>
      </c>
      <c r="F129" s="22" t="s">
        <v>213</v>
      </c>
      <c r="G129" s="23" t="n">
        <v>0</v>
      </c>
      <c r="H129" s="21"/>
    </row>
    <row r="130" customFormat="false" ht="15" hidden="false" customHeight="true" outlineLevel="0" collapsed="false">
      <c r="B130" s="19" t="s">
        <v>385</v>
      </c>
      <c r="C130" s="24" t="s">
        <v>386</v>
      </c>
      <c r="D130" s="19" t="s">
        <v>93</v>
      </c>
      <c r="E130" s="21" t="n">
        <v>2</v>
      </c>
      <c r="F130" s="22" t="s">
        <v>155</v>
      </c>
      <c r="G130" s="23" t="n">
        <v>0</v>
      </c>
      <c r="H130" s="21"/>
    </row>
    <row r="131" customFormat="false" ht="15" hidden="false" customHeight="true" outlineLevel="0" collapsed="false">
      <c r="B131" s="19" t="s">
        <v>387</v>
      </c>
      <c r="C131" s="24" t="s">
        <v>388</v>
      </c>
      <c r="D131" s="19" t="s">
        <v>93</v>
      </c>
      <c r="E131" s="21" t="n">
        <v>2</v>
      </c>
      <c r="F131" s="22" t="s">
        <v>213</v>
      </c>
      <c r="G131" s="23" t="n">
        <v>0</v>
      </c>
      <c r="H131" s="21"/>
    </row>
    <row r="132" customFormat="false" ht="15" hidden="false" customHeight="true" outlineLevel="0" collapsed="false">
      <c r="B132" s="19" t="s">
        <v>389</v>
      </c>
      <c r="C132" s="24" t="s">
        <v>390</v>
      </c>
      <c r="D132" s="19" t="s">
        <v>93</v>
      </c>
      <c r="E132" s="21" t="n">
        <v>2</v>
      </c>
      <c r="F132" s="22" t="s">
        <v>213</v>
      </c>
      <c r="G132" s="23" t="n">
        <v>0</v>
      </c>
      <c r="H132" s="21"/>
    </row>
    <row r="133" customFormat="false" ht="15" hidden="false" customHeight="true" outlineLevel="0" collapsed="false">
      <c r="B133" s="19" t="s">
        <v>391</v>
      </c>
      <c r="C133" s="24" t="s">
        <v>392</v>
      </c>
      <c r="D133" s="19" t="s">
        <v>93</v>
      </c>
      <c r="E133" s="21" t="n">
        <v>2</v>
      </c>
      <c r="F133" s="22" t="s">
        <v>213</v>
      </c>
      <c r="G133" s="23" t="n">
        <v>0</v>
      </c>
      <c r="H133" s="21"/>
    </row>
    <row r="134" customFormat="false" ht="15" hidden="false" customHeight="true" outlineLevel="0" collapsed="false">
      <c r="B134" s="19" t="s">
        <v>393</v>
      </c>
      <c r="C134" s="24" t="s">
        <v>394</v>
      </c>
      <c r="D134" s="19" t="s">
        <v>93</v>
      </c>
      <c r="E134" s="21" t="n">
        <v>2</v>
      </c>
      <c r="F134" s="22" t="s">
        <v>213</v>
      </c>
      <c r="G134" s="23" t="n">
        <v>0</v>
      </c>
      <c r="H134" s="21"/>
    </row>
    <row r="135" customFormat="false" ht="15" hidden="false" customHeight="true" outlineLevel="0" collapsed="false">
      <c r="B135" s="19" t="s">
        <v>395</v>
      </c>
      <c r="C135" s="24" t="s">
        <v>396</v>
      </c>
      <c r="D135" s="19" t="s">
        <v>93</v>
      </c>
      <c r="E135" s="21" t="n">
        <v>2</v>
      </c>
      <c r="F135" s="22" t="s">
        <v>213</v>
      </c>
      <c r="G135" s="23" t="n">
        <v>0</v>
      </c>
      <c r="H135" s="21"/>
    </row>
    <row r="136" customFormat="false" ht="15" hidden="false" customHeight="true" outlineLevel="0" collapsed="false">
      <c r="B136" s="19" t="s">
        <v>397</v>
      </c>
      <c r="C136" s="24" t="s">
        <v>398</v>
      </c>
      <c r="D136" s="19" t="s">
        <v>93</v>
      </c>
      <c r="E136" s="21" t="n">
        <v>2</v>
      </c>
      <c r="F136" s="22" t="s">
        <v>213</v>
      </c>
      <c r="G136" s="23" t="n">
        <v>0</v>
      </c>
      <c r="H136" s="21"/>
    </row>
    <row r="137" customFormat="false" ht="15" hidden="false" customHeight="true" outlineLevel="0" collapsed="false">
      <c r="B137" s="19" t="s">
        <v>399</v>
      </c>
      <c r="C137" s="24" t="s">
        <v>399</v>
      </c>
      <c r="D137" s="19" t="s">
        <v>93</v>
      </c>
      <c r="E137" s="21" t="n">
        <v>2</v>
      </c>
      <c r="F137" s="22" t="s">
        <v>213</v>
      </c>
      <c r="G137" s="23" t="n">
        <v>0</v>
      </c>
      <c r="H137" s="21"/>
    </row>
    <row r="138" customFormat="false" ht="15" hidden="false" customHeight="true" outlineLevel="0" collapsed="false">
      <c r="B138" s="19" t="s">
        <v>400</v>
      </c>
      <c r="C138" s="24" t="s">
        <v>401</v>
      </c>
      <c r="D138" s="19" t="s">
        <v>93</v>
      </c>
      <c r="E138" s="21" t="n">
        <v>2</v>
      </c>
      <c r="F138" s="22" t="s">
        <v>213</v>
      </c>
      <c r="G138" s="23" t="n">
        <v>0</v>
      </c>
      <c r="H138" s="21"/>
    </row>
    <row r="139" customFormat="false" ht="15" hidden="false" customHeight="true" outlineLevel="0" collapsed="false">
      <c r="B139" s="25"/>
      <c r="C139" s="25"/>
      <c r="D139" s="25"/>
      <c r="E139" s="25"/>
      <c r="F139" s="25"/>
      <c r="G139" s="25"/>
      <c r="H139" s="25"/>
    </row>
    <row r="140" customFormat="false" ht="15" hidden="false" customHeight="true" outlineLevel="0" collapsed="false">
      <c r="B140" s="25"/>
      <c r="C140" s="26" t="s">
        <v>402</v>
      </c>
      <c r="D140" s="25"/>
      <c r="E140" s="25"/>
      <c r="F140" s="25"/>
      <c r="G140" s="25"/>
      <c r="H140" s="25"/>
    </row>
  </sheetData>
  <sheetProtection sheet="true" formatCells="false" selectLockedCells="true" selectUnlockedCell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3" min="3" style="1" width="13"/>
    <col collapsed="false" customWidth="true" hidden="false" outlineLevel="0" max="4" min="4" style="1" width="8"/>
    <col collapsed="false" customWidth="true" hidden="false" outlineLevel="0" max="5" min="5" style="1" width="11"/>
    <col collapsed="false" customWidth="true" hidden="false" outlineLevel="0" max="6" min="6" style="1" width="12"/>
    <col collapsed="false" customWidth="true" hidden="false" outlineLevel="0" max="7" min="7" style="1" width="15"/>
    <col collapsed="false" customWidth="true" hidden="false" outlineLevel="0" max="8" min="8" style="1" width="10"/>
    <col collapsed="false" customWidth="true" hidden="false" outlineLevel="0" max="9" min="9" style="1" width="12"/>
    <col collapsed="false" customWidth="true" hidden="false" outlineLevel="0" max="10" min="10" style="1" width="38"/>
  </cols>
  <sheetData>
    <row r="2" customFormat="false" ht="18" hidden="false" customHeight="true" outlineLevel="0" collapsed="false">
      <c r="B2" s="2" t="s">
        <v>403</v>
      </c>
    </row>
    <row r="3" customFormat="false" ht="15" hidden="false" customHeight="true" outlineLevel="0" collapsed="false">
      <c r="B3" s="18" t="s">
        <v>404</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410</v>
      </c>
      <c r="D6" s="28" t="s">
        <v>411</v>
      </c>
      <c r="F6" s="28" t="s">
        <v>412</v>
      </c>
      <c r="H6" s="28" t="s">
        <v>413</v>
      </c>
      <c r="J6" s="28" t="s">
        <v>414</v>
      </c>
      <c r="L6" s="28" t="s">
        <v>415</v>
      </c>
    </row>
    <row r="8" customFormat="false" ht="15" hidden="false" customHeight="true" outlineLevel="0" collapsed="false">
      <c r="B8" s="11" t="s">
        <v>416</v>
      </c>
    </row>
    <row r="9" customFormat="false" ht="15" hidden="false" customHeight="true" outlineLevel="0" collapsed="false">
      <c r="B9" s="18" t="s">
        <v>417</v>
      </c>
    </row>
    <row r="10" customFormat="false" ht="34.5" hidden="false" customHeight="true" outlineLevel="0" collapsed="false">
      <c r="B10" s="4" t="s">
        <v>418</v>
      </c>
      <c r="C10" s="4" t="s">
        <v>419</v>
      </c>
      <c r="D10" s="4" t="s">
        <v>420</v>
      </c>
      <c r="E10" s="4" t="s">
        <v>421</v>
      </c>
      <c r="F10" s="4" t="s">
        <v>422</v>
      </c>
      <c r="G10" s="4" t="s">
        <v>423</v>
      </c>
      <c r="H10" s="4" t="s">
        <v>424</v>
      </c>
      <c r="I10" s="4" t="s">
        <v>425</v>
      </c>
      <c r="J10" s="4" t="s">
        <v>41</v>
      </c>
      <c r="L10" s="4" t="s">
        <v>426</v>
      </c>
    </row>
    <row r="11" customFormat="false" ht="15" hidden="false" customHeight="true" outlineLevel="0" collapsed="false">
      <c r="B11" s="29" t="s">
        <v>175</v>
      </c>
      <c r="C11" s="30" t="n">
        <v>1</v>
      </c>
      <c r="D11" s="31" t="s">
        <v>9</v>
      </c>
      <c r="E11" s="32" t="s">
        <v>427</v>
      </c>
      <c r="F11" s="33" t="n">
        <f aca="false">IF($E11="","",IFERROR(LOOKUP(VALUE(LEFT($E11&amp;"",FIND("-",$E11&amp;"-")-1)),$C$54:$C$59,$D$54:$D$59),""))</f>
        <v>1000</v>
      </c>
      <c r="G11" s="34" t="n">
        <v>1000</v>
      </c>
      <c r="H11" s="35" t="str">
        <f aca="false">IF($G11="","n/a",IF($F11=$G11,"ok","MISMATCH"))</f>
        <v>ok</v>
      </c>
      <c r="I11" s="36" t="n">
        <v>600000</v>
      </c>
      <c r="J11" s="37"/>
      <c r="L11" s="38" t="s">
        <v>175</v>
      </c>
    </row>
    <row r="12" customFormat="false" ht="15" hidden="false" customHeight="true" outlineLevel="0" collapsed="false">
      <c r="B12" s="39" t="s">
        <v>184</v>
      </c>
      <c r="C12" s="40" t="n">
        <v>14</v>
      </c>
      <c r="D12" s="41" t="s">
        <v>21</v>
      </c>
      <c r="E12" s="42" t="s">
        <v>428</v>
      </c>
      <c r="F12" s="43" t="n">
        <f aca="false">IF($E12="","",IFERROR(LOOKUP(VALUE(LEFT($E12&amp;"",FIND("-",$E12&amp;"-")-1)),$C$54:$C$59,$D$54:$D$59),""))</f>
        <v>750</v>
      </c>
      <c r="G12" s="44" t="n">
        <v>750</v>
      </c>
      <c r="H12" s="45" t="str">
        <f aca="false">IF($G12="","n/a",IF($F12=$G12,"ok","MISMATCH"))</f>
        <v>ok</v>
      </c>
      <c r="I12" s="46" t="n">
        <v>340000</v>
      </c>
      <c r="J12" s="47"/>
      <c r="L12" s="38" t="s">
        <v>184</v>
      </c>
    </row>
    <row r="13" customFormat="false" ht="15" hidden="false" customHeight="true" outlineLevel="0" collapsed="false">
      <c r="B13" s="48" t="s">
        <v>429</v>
      </c>
      <c r="C13" s="49" t="n">
        <v>7</v>
      </c>
      <c r="D13" s="50" t="s">
        <v>15</v>
      </c>
      <c r="E13" s="51" t="s">
        <v>430</v>
      </c>
      <c r="F13" s="52" t="n">
        <f aca="false">IF($E13="","",IFERROR(LOOKUP(VALUE(LEFT($E13&amp;"",FIND("-",$E13&amp;"-")-1)),$C$54:$C$59,$D$54:$D$59),""))</f>
        <v>500</v>
      </c>
      <c r="G13" s="53" t="n">
        <v>500</v>
      </c>
      <c r="H13" s="54" t="str">
        <f aca="false">IF($G13="","n/a",IF($F13=$G13,"ok","MISMATCH"))</f>
        <v>ok</v>
      </c>
      <c r="I13" s="55" t="n">
        <v>190000</v>
      </c>
      <c r="J13" s="56"/>
      <c r="L13" s="38" t="s">
        <v>429</v>
      </c>
    </row>
    <row r="14" customFormat="false" ht="15" hidden="false" customHeight="true" outlineLevel="0" collapsed="false">
      <c r="B14" s="57" t="s">
        <v>181</v>
      </c>
      <c r="C14" s="58" t="n">
        <v>8</v>
      </c>
      <c r="D14" s="59" t="s">
        <v>32</v>
      </c>
      <c r="E14" s="60" t="s">
        <v>431</v>
      </c>
      <c r="F14" s="61" t="n">
        <f aca="false">IF($E14="","",IFERROR(LOOKUP(VALUE(LEFT($E14&amp;"",FIND("-",$E14&amp;"-")-1)),$C$54:$C$59,$D$54:$D$59),""))</f>
        <v>300</v>
      </c>
      <c r="G14" s="62" t="n">
        <v>300</v>
      </c>
      <c r="H14" s="63" t="str">
        <f aca="false">IF($G14="","n/a",IF($F14=$G14,"ok","MISMATCH"))</f>
        <v>ok</v>
      </c>
      <c r="I14" s="64" t="n">
        <v>110000</v>
      </c>
      <c r="J14" s="65"/>
      <c r="L14" s="38" t="s">
        <v>181</v>
      </c>
    </row>
    <row r="15" customFormat="false" ht="15" hidden="false" customHeight="true" outlineLevel="0" collapsed="false">
      <c r="B15" s="57" t="s">
        <v>215</v>
      </c>
      <c r="C15" s="58" t="n">
        <v>11</v>
      </c>
      <c r="D15" s="59" t="s">
        <v>9</v>
      </c>
      <c r="E15" s="60" t="s">
        <v>432</v>
      </c>
      <c r="F15" s="61" t="n">
        <f aca="false">IF($E15="","",IFERROR(LOOKUP(VALUE(LEFT($E15&amp;"",FIND("-",$E15&amp;"-")-1)),$C$54:$C$59,$D$54:$D$59),""))</f>
        <v>200</v>
      </c>
      <c r="G15" s="62" t="n">
        <v>200</v>
      </c>
      <c r="H15" s="63" t="str">
        <f aca="false">IF($G15="","n/a",IF($F15=$G15,"ok","MISMATCH"))</f>
        <v>ok</v>
      </c>
      <c r="I15" s="64" t="n">
        <v>60000</v>
      </c>
      <c r="J15" s="65"/>
      <c r="L15" s="38" t="s">
        <v>215</v>
      </c>
    </row>
    <row r="16" customFormat="false" ht="15" hidden="false" customHeight="true" outlineLevel="0" collapsed="false">
      <c r="B16" s="57" t="s">
        <v>224</v>
      </c>
      <c r="C16" s="58" t="n">
        <v>3</v>
      </c>
      <c r="D16" s="59" t="s">
        <v>21</v>
      </c>
      <c r="E16" s="60" t="s">
        <v>432</v>
      </c>
      <c r="F16" s="61" t="n">
        <f aca="false">IF($E16="","",IFERROR(LOOKUP(VALUE(LEFT($E16&amp;"",FIND("-",$E16&amp;"-")-1)),$C$54:$C$59,$D$54:$D$59),""))</f>
        <v>200</v>
      </c>
      <c r="G16" s="62" t="n">
        <v>200</v>
      </c>
      <c r="H16" s="63" t="str">
        <f aca="false">IF($G16="","n/a",IF($F16=$G16,"ok","MISMATCH"))</f>
        <v>ok</v>
      </c>
      <c r="I16" s="64" t="n">
        <v>60000</v>
      </c>
      <c r="J16" s="65"/>
      <c r="L16" s="38" t="s">
        <v>224</v>
      </c>
    </row>
    <row r="17" customFormat="false" ht="15" hidden="false" customHeight="true" outlineLevel="0" collapsed="false">
      <c r="B17" s="57" t="s">
        <v>114</v>
      </c>
      <c r="C17" s="58" t="n">
        <v>2</v>
      </c>
      <c r="D17" s="59" t="s">
        <v>15</v>
      </c>
      <c r="E17" s="60" t="s">
        <v>432</v>
      </c>
      <c r="F17" s="61" t="n">
        <f aca="false">IF($E17="","",IFERROR(LOOKUP(VALUE(LEFT($E17&amp;"",FIND("-",$E17&amp;"-")-1)),$C$54:$C$59,$D$54:$D$59),""))</f>
        <v>200</v>
      </c>
      <c r="G17" s="62" t="n">
        <v>200</v>
      </c>
      <c r="H17" s="63" t="str">
        <f aca="false">IF($G17="","n/a",IF($F17=$G17,"ok","MISMATCH"))</f>
        <v>ok</v>
      </c>
      <c r="I17" s="64" t="n">
        <v>60000</v>
      </c>
      <c r="J17" s="65"/>
      <c r="L17" s="38" t="s">
        <v>114</v>
      </c>
    </row>
    <row r="18" customFormat="false" ht="15" hidden="false" customHeight="true" outlineLevel="0" collapsed="false">
      <c r="B18" s="57" t="s">
        <v>119</v>
      </c>
      <c r="C18" s="58" t="n">
        <v>5</v>
      </c>
      <c r="D18" s="59" t="s">
        <v>21</v>
      </c>
      <c r="E18" s="60" t="s">
        <v>432</v>
      </c>
      <c r="F18" s="61" t="n">
        <f aca="false">IF($E18="","",IFERROR(LOOKUP(VALUE(LEFT($E18&amp;"",FIND("-",$E18&amp;"-")-1)),$C$54:$C$59,$D$54:$D$59),""))</f>
        <v>200</v>
      </c>
      <c r="G18" s="62" t="n">
        <v>200</v>
      </c>
      <c r="H18" s="63" t="str">
        <f aca="false">IF($G18="","n/a",IF($F18=$G18,"ok","MISMATCH"))</f>
        <v>ok</v>
      </c>
      <c r="I18" s="64" t="n">
        <v>60000</v>
      </c>
      <c r="J18" s="65"/>
      <c r="L18" s="38" t="s">
        <v>119</v>
      </c>
    </row>
    <row r="19" customFormat="false" ht="15" hidden="false" customHeight="true" outlineLevel="0" collapsed="false">
      <c r="B19" s="66" t="s">
        <v>364</v>
      </c>
      <c r="C19" s="67" t="n">
        <v>22</v>
      </c>
      <c r="D19" s="68" t="s">
        <v>9</v>
      </c>
      <c r="E19" s="69" t="s">
        <v>433</v>
      </c>
      <c r="F19" s="70" t="n">
        <f aca="false">IF($E19="","",IFERROR(LOOKUP(VALUE(LEFT($E19&amp;"",FIND("-",$E19&amp;"-")-1)),$C$54:$C$59,$D$54:$D$59),""))</f>
        <v>0</v>
      </c>
      <c r="G19" s="71"/>
      <c r="H19" s="72" t="str">
        <f aca="false">IF($G19="","n/a",IF($F19=$G19,"ok","MISMATCH"))</f>
        <v>n/a</v>
      </c>
      <c r="I19" s="73"/>
      <c r="J19" s="74" t="s">
        <v>434</v>
      </c>
      <c r="L19" s="38" t="s">
        <v>364</v>
      </c>
    </row>
    <row r="20" customFormat="false" ht="15" hidden="false" customHeight="true" outlineLevel="0" collapsed="false">
      <c r="B20" s="66" t="s">
        <v>157</v>
      </c>
      <c r="C20" s="67" t="n">
        <v>10</v>
      </c>
      <c r="D20" s="68" t="s">
        <v>9</v>
      </c>
      <c r="E20" s="69" t="s">
        <v>433</v>
      </c>
      <c r="F20" s="70" t="n">
        <f aca="false">IF($E20="","",IFERROR(LOOKUP(VALUE(LEFT($E20&amp;"",FIND("-",$E20&amp;"-")-1)),$C$54:$C$59,$D$54:$D$59),""))</f>
        <v>0</v>
      </c>
      <c r="G20" s="71" t="n">
        <v>0</v>
      </c>
      <c r="H20" s="72" t="str">
        <f aca="false">IF($G20="","n/a",IF($F20=$G20,"ok","MISMATCH"))</f>
        <v>ok</v>
      </c>
      <c r="I20" s="73"/>
      <c r="J20" s="75"/>
      <c r="L20" s="38" t="s">
        <v>157</v>
      </c>
    </row>
    <row r="21" customFormat="false" ht="15" hidden="false" customHeight="true" outlineLevel="0" collapsed="false">
      <c r="B21" s="66" t="s">
        <v>281</v>
      </c>
      <c r="C21" s="67" t="n">
        <v>13</v>
      </c>
      <c r="D21" s="68" t="s">
        <v>15</v>
      </c>
      <c r="E21" s="69" t="s">
        <v>433</v>
      </c>
      <c r="F21" s="70" t="n">
        <f aca="false">IF($E21="","",IFERROR(LOOKUP(VALUE(LEFT($E21&amp;"",FIND("-",$E21&amp;"-")-1)),$C$54:$C$59,$D$54:$D$59),""))</f>
        <v>0</v>
      </c>
      <c r="G21" s="71" t="n">
        <v>0</v>
      </c>
      <c r="H21" s="72" t="str">
        <f aca="false">IF($G21="","n/a",IF($F21=$G21,"ok","MISMATCH"))</f>
        <v>ok</v>
      </c>
      <c r="I21" s="73"/>
      <c r="J21" s="74" t="s">
        <v>435</v>
      </c>
      <c r="L21" s="38" t="s">
        <v>281</v>
      </c>
    </row>
    <row r="22" customFormat="false" ht="15" hidden="false" customHeight="true" outlineLevel="0" collapsed="false">
      <c r="B22" s="66" t="s">
        <v>436</v>
      </c>
      <c r="C22" s="67" t="n">
        <v>19</v>
      </c>
      <c r="D22" s="68" t="s">
        <v>15</v>
      </c>
      <c r="E22" s="69" t="s">
        <v>433</v>
      </c>
      <c r="F22" s="70" t="n">
        <f aca="false">IF($E22="","",IFERROR(LOOKUP(VALUE(LEFT($E22&amp;"",FIND("-",$E22&amp;"-")-1)),$C$54:$C$59,$D$54:$D$59),""))</f>
        <v>0</v>
      </c>
      <c r="G22" s="71"/>
      <c r="H22" s="72" t="str">
        <f aca="false">IF($G22="","n/a",IF($F22=$G22,"ok","MISMATCH"))</f>
        <v>n/a</v>
      </c>
      <c r="I22" s="73"/>
      <c r="J22" s="74" t="s">
        <v>437</v>
      </c>
      <c r="L22" s="38" t="s">
        <v>436</v>
      </c>
    </row>
    <row r="23" customFormat="false" ht="15" hidden="false" customHeight="true" outlineLevel="0" collapsed="false">
      <c r="B23" s="66" t="s">
        <v>438</v>
      </c>
      <c r="C23" s="67" t="n">
        <v>20</v>
      </c>
      <c r="D23" s="68" t="s">
        <v>21</v>
      </c>
      <c r="E23" s="69" t="s">
        <v>433</v>
      </c>
      <c r="F23" s="70" t="n">
        <f aca="false">IF($E23="","",IFERROR(LOOKUP(VALUE(LEFT($E23&amp;"",FIND("-",$E23&amp;"-")-1)),$C$54:$C$59,$D$54:$D$59),""))</f>
        <v>0</v>
      </c>
      <c r="G23" s="71"/>
      <c r="H23" s="72" t="str">
        <f aca="false">IF($G23="","n/a",IF($F23=$G23,"ok","MISMATCH"))</f>
        <v>n/a</v>
      </c>
      <c r="I23" s="73"/>
      <c r="J23" s="75"/>
      <c r="L23" s="38" t="s">
        <v>438</v>
      </c>
    </row>
    <row r="24" customFormat="false" ht="15" hidden="false" customHeight="true" outlineLevel="0" collapsed="false">
      <c r="B24" s="66" t="s">
        <v>165</v>
      </c>
      <c r="C24" s="67" t="n">
        <v>6</v>
      </c>
      <c r="D24" s="68" t="s">
        <v>32</v>
      </c>
      <c r="E24" s="69" t="s">
        <v>433</v>
      </c>
      <c r="F24" s="70" t="n">
        <f aca="false">IF($E24="","",IFERROR(LOOKUP(VALUE(LEFT($E24&amp;"",FIND("-",$E24&amp;"-")-1)),$C$54:$C$59,$D$54:$D$59),""))</f>
        <v>0</v>
      </c>
      <c r="G24" s="71" t="n">
        <v>0</v>
      </c>
      <c r="H24" s="72" t="str">
        <f aca="false">IF($G24="","n/a",IF($F24=$G24,"ok","MISMATCH"))</f>
        <v>ok</v>
      </c>
      <c r="I24" s="73"/>
      <c r="J24" s="75"/>
      <c r="L24" s="38" t="s">
        <v>165</v>
      </c>
    </row>
    <row r="25" customFormat="false" ht="15" hidden="false" customHeight="true" outlineLevel="0" collapsed="false">
      <c r="B25" s="66" t="s">
        <v>399</v>
      </c>
      <c r="C25" s="67" t="n">
        <v>23</v>
      </c>
      <c r="D25" s="68" t="s">
        <v>32</v>
      </c>
      <c r="E25" s="69" t="s">
        <v>433</v>
      </c>
      <c r="F25" s="70" t="n">
        <f aca="false">IF($E25="","",IFERROR(LOOKUP(VALUE(LEFT($E25&amp;"",FIND("-",$E25&amp;"-")-1)),$C$54:$C$59,$D$54:$D$59),""))</f>
        <v>0</v>
      </c>
      <c r="G25" s="71"/>
      <c r="H25" s="72" t="str">
        <f aca="false">IF($G25="","n/a",IF($F25=$G25,"ok","MISMATCH"))</f>
        <v>n/a</v>
      </c>
      <c r="I25" s="73"/>
      <c r="J25" s="75"/>
      <c r="L25" s="38" t="s">
        <v>399</v>
      </c>
    </row>
    <row r="26" customFormat="false" ht="15" hidden="false" customHeight="true" outlineLevel="0" collapsed="false">
      <c r="B26" s="66" t="s">
        <v>334</v>
      </c>
      <c r="C26" s="67" t="n">
        <v>15</v>
      </c>
      <c r="D26" s="68" t="s">
        <v>32</v>
      </c>
      <c r="E26" s="69" t="s">
        <v>433</v>
      </c>
      <c r="F26" s="70" t="n">
        <f aca="false">IF($E26="","",IFERROR(LOOKUP(VALUE(LEFT($E26&amp;"",FIND("-",$E26&amp;"-")-1)),$C$54:$C$59,$D$54:$D$59),""))</f>
        <v>0</v>
      </c>
      <c r="G26" s="71"/>
      <c r="H26" s="72" t="str">
        <f aca="false">IF($G26="","n/a",IF($F26=$G26,"ok","MISMATCH"))</f>
        <v>n/a</v>
      </c>
      <c r="I26" s="73"/>
      <c r="J26" s="74" t="s">
        <v>439</v>
      </c>
      <c r="L26" s="38" t="s">
        <v>334</v>
      </c>
    </row>
    <row r="27" customFormat="false" ht="15" hidden="false" customHeight="true" outlineLevel="0" collapsed="false">
      <c r="B27" s="66" t="s">
        <v>440</v>
      </c>
      <c r="C27" s="67" t="n">
        <v>58</v>
      </c>
      <c r="D27" s="68" t="s">
        <v>9</v>
      </c>
      <c r="E27" s="69" t="s">
        <v>441</v>
      </c>
      <c r="F27" s="70" t="n">
        <f aca="false">IF($E27="","",IFERROR(LOOKUP(VALUE(LEFT($E27&amp;"",FIND("-",$E27&amp;"-")-1)),$C$54:$C$59,$D$54:$D$59),""))</f>
        <v>0</v>
      </c>
      <c r="G27" s="71"/>
      <c r="H27" s="72" t="str">
        <f aca="false">IF($G27="","n/a",IF($F27=$G27,"ok","MISMATCH"))</f>
        <v>n/a</v>
      </c>
      <c r="I27" s="73"/>
      <c r="J27" s="74" t="s">
        <v>442</v>
      </c>
      <c r="L27" s="38" t="s">
        <v>440</v>
      </c>
    </row>
    <row r="28" customFormat="false" ht="15" hidden="false" customHeight="true" outlineLevel="0" collapsed="false">
      <c r="B28" s="66" t="s">
        <v>443</v>
      </c>
      <c r="C28" s="67" t="n">
        <v>24</v>
      </c>
      <c r="D28" s="68" t="s">
        <v>9</v>
      </c>
      <c r="E28" s="69" t="s">
        <v>441</v>
      </c>
      <c r="F28" s="70" t="n">
        <f aca="false">IF($E28="","",IFERROR(LOOKUP(VALUE(LEFT($E28&amp;"",FIND("-",$E28&amp;"-")-1)),$C$54:$C$59,$D$54:$D$59),""))</f>
        <v>0</v>
      </c>
      <c r="G28" s="71"/>
      <c r="H28" s="72" t="str">
        <f aca="false">IF($G28="","n/a",IF($F28=$G28,"ok","MISMATCH"))</f>
        <v>n/a</v>
      </c>
      <c r="I28" s="73"/>
      <c r="J28" s="74" t="s">
        <v>444</v>
      </c>
      <c r="L28" s="38" t="s">
        <v>443</v>
      </c>
    </row>
    <row r="29" customFormat="false" ht="15" hidden="false" customHeight="true" outlineLevel="0" collapsed="false">
      <c r="B29" s="66" t="s">
        <v>292</v>
      </c>
      <c r="C29" s="67" t="n">
        <v>36</v>
      </c>
      <c r="D29" s="68" t="s">
        <v>9</v>
      </c>
      <c r="E29" s="69" t="s">
        <v>441</v>
      </c>
      <c r="F29" s="70" t="n">
        <f aca="false">IF($E29="","",IFERROR(LOOKUP(VALUE(LEFT($E29&amp;"",FIND("-",$E29&amp;"-")-1)),$C$54:$C$59,$D$54:$D$59),""))</f>
        <v>0</v>
      </c>
      <c r="G29" s="71"/>
      <c r="H29" s="72" t="str">
        <f aca="false">IF($G29="","n/a",IF($F29=$G29,"ok","MISMATCH"))</f>
        <v>n/a</v>
      </c>
      <c r="I29" s="73"/>
      <c r="J29" s="75"/>
      <c r="L29" s="38" t="s">
        <v>292</v>
      </c>
    </row>
    <row r="30" customFormat="false" ht="15" hidden="false" customHeight="true" outlineLevel="0" collapsed="false">
      <c r="B30" s="66" t="s">
        <v>273</v>
      </c>
      <c r="C30" s="67" t="n">
        <v>21</v>
      </c>
      <c r="D30" s="68" t="s">
        <v>9</v>
      </c>
      <c r="E30" s="69" t="s">
        <v>441</v>
      </c>
      <c r="F30" s="70" t="n">
        <f aca="false">IF($E30="","",IFERROR(LOOKUP(VALUE(LEFT($E30&amp;"",FIND("-",$E30&amp;"-")-1)),$C$54:$C$59,$D$54:$D$59),""))</f>
        <v>0</v>
      </c>
      <c r="G30" s="71" t="n">
        <v>0</v>
      </c>
      <c r="H30" s="72" t="str">
        <f aca="false">IF($G30="","n/a",IF($F30=$G30,"ok","MISMATCH"))</f>
        <v>ok</v>
      </c>
      <c r="I30" s="73"/>
      <c r="J30" s="74" t="s">
        <v>445</v>
      </c>
      <c r="L30" s="38" t="s">
        <v>273</v>
      </c>
    </row>
    <row r="31" customFormat="false" ht="15" hidden="false" customHeight="true" outlineLevel="0" collapsed="false">
      <c r="B31" s="66" t="s">
        <v>446</v>
      </c>
      <c r="C31" s="67" t="n">
        <v>39</v>
      </c>
      <c r="D31" s="68" t="s">
        <v>15</v>
      </c>
      <c r="E31" s="69" t="s">
        <v>441</v>
      </c>
      <c r="F31" s="70" t="n">
        <f aca="false">IF($E31="","",IFERROR(LOOKUP(VALUE(LEFT($E31&amp;"",FIND("-",$E31&amp;"-")-1)),$C$54:$C$59,$D$54:$D$59),""))</f>
        <v>0</v>
      </c>
      <c r="G31" s="71"/>
      <c r="H31" s="72" t="str">
        <f aca="false">IF($G31="","n/a",IF($F31=$G31,"ok","MISMATCH"))</f>
        <v>n/a</v>
      </c>
      <c r="I31" s="73"/>
      <c r="J31" s="75"/>
      <c r="L31" s="38" t="s">
        <v>446</v>
      </c>
    </row>
    <row r="32" customFormat="false" ht="15" hidden="false" customHeight="true" outlineLevel="0" collapsed="false">
      <c r="B32" s="66" t="s">
        <v>447</v>
      </c>
      <c r="C32" s="67" t="n">
        <v>16</v>
      </c>
      <c r="D32" s="68" t="s">
        <v>15</v>
      </c>
      <c r="E32" s="69" t="s">
        <v>441</v>
      </c>
      <c r="F32" s="70" t="n">
        <f aca="false">IF($E32="","",IFERROR(LOOKUP(VALUE(LEFT($E32&amp;"",FIND("-",$E32&amp;"-")-1)),$C$54:$C$59,$D$54:$D$59),""))</f>
        <v>0</v>
      </c>
      <c r="G32" s="71"/>
      <c r="H32" s="72" t="str">
        <f aca="false">IF($G32="","n/a",IF($F32=$G32,"ok","MISMATCH"))</f>
        <v>n/a</v>
      </c>
      <c r="I32" s="73"/>
      <c r="J32" s="75"/>
      <c r="L32" s="76" t="s">
        <v>202</v>
      </c>
    </row>
    <row r="33" customFormat="false" ht="15" hidden="false" customHeight="true" outlineLevel="0" collapsed="false">
      <c r="B33" s="66" t="s">
        <v>448</v>
      </c>
      <c r="C33" s="67" t="n">
        <v>9</v>
      </c>
      <c r="D33" s="68" t="s">
        <v>15</v>
      </c>
      <c r="E33" s="69" t="s">
        <v>441</v>
      </c>
      <c r="F33" s="70" t="n">
        <f aca="false">IF($E33="","",IFERROR(LOOKUP(VALUE(LEFT($E33&amp;"",FIND("-",$E33&amp;"-")-1)),$C$54:$C$59,$D$54:$D$59),""))</f>
        <v>0</v>
      </c>
      <c r="G33" s="71"/>
      <c r="H33" s="72" t="str">
        <f aca="false">IF($G33="","n/a",IF($F33=$G33,"ok","MISMATCH"))</f>
        <v>n/a</v>
      </c>
      <c r="I33" s="73"/>
      <c r="J33" s="74" t="s">
        <v>449</v>
      </c>
      <c r="L33" s="38" t="s">
        <v>448</v>
      </c>
    </row>
    <row r="34" customFormat="false" ht="15" hidden="false" customHeight="true" outlineLevel="0" collapsed="false">
      <c r="B34" s="66" t="s">
        <v>152</v>
      </c>
      <c r="C34" s="67" t="n">
        <v>27</v>
      </c>
      <c r="D34" s="68" t="s">
        <v>15</v>
      </c>
      <c r="E34" s="69" t="s">
        <v>441</v>
      </c>
      <c r="F34" s="70" t="n">
        <f aca="false">IF($E34="","",IFERROR(LOOKUP(VALUE(LEFT($E34&amp;"",FIND("-",$E34&amp;"-")-1)),$C$54:$C$59,$D$54:$D$59),""))</f>
        <v>0</v>
      </c>
      <c r="G34" s="71" t="n">
        <v>0</v>
      </c>
      <c r="H34" s="72" t="str">
        <f aca="false">IF($G34="","n/a",IF($F34=$G34,"ok","MISMATCH"))</f>
        <v>ok</v>
      </c>
      <c r="I34" s="73"/>
      <c r="J34" s="75"/>
      <c r="L34" s="38" t="s">
        <v>152</v>
      </c>
    </row>
    <row r="35" customFormat="false" ht="15" hidden="false" customHeight="true" outlineLevel="0" collapsed="false">
      <c r="B35" s="66" t="s">
        <v>230</v>
      </c>
      <c r="C35" s="67" t="n">
        <v>40</v>
      </c>
      <c r="D35" s="68" t="s">
        <v>21</v>
      </c>
      <c r="E35" s="69" t="s">
        <v>441</v>
      </c>
      <c r="F35" s="70" t="n">
        <f aca="false">IF($E35="","",IFERROR(LOOKUP(VALUE(LEFT($E35&amp;"",FIND("-",$E35&amp;"-")-1)),$C$54:$C$59,$D$54:$D$59),""))</f>
        <v>0</v>
      </c>
      <c r="G35" s="71" t="n">
        <v>0</v>
      </c>
      <c r="H35" s="72" t="str">
        <f aca="false">IF($G35="","n/a",IF($F35=$G35,"ok","MISMATCH"))</f>
        <v>ok</v>
      </c>
      <c r="I35" s="73"/>
      <c r="J35" s="74" t="s">
        <v>450</v>
      </c>
      <c r="L35" s="38" t="s">
        <v>230</v>
      </c>
    </row>
    <row r="36" customFormat="false" ht="15" hidden="false" customHeight="true" outlineLevel="0" collapsed="false">
      <c r="B36" s="66" t="s">
        <v>382</v>
      </c>
      <c r="C36" s="67" t="n">
        <v>12</v>
      </c>
      <c r="D36" s="68" t="s">
        <v>21</v>
      </c>
      <c r="E36" s="69" t="s">
        <v>441</v>
      </c>
      <c r="F36" s="70" t="n">
        <f aca="false">IF($E36="","",IFERROR(LOOKUP(VALUE(LEFT($E36&amp;"",FIND("-",$E36&amp;"-")-1)),$C$54:$C$59,$D$54:$D$59),""))</f>
        <v>0</v>
      </c>
      <c r="G36" s="71" t="n">
        <v>0</v>
      </c>
      <c r="H36" s="72" t="str">
        <f aca="false">IF($G36="","n/a",IF($F36=$G36,"ok","MISMATCH"))</f>
        <v>ok</v>
      </c>
      <c r="I36" s="73"/>
      <c r="J36" s="75"/>
      <c r="L36" s="38" t="s">
        <v>382</v>
      </c>
    </row>
    <row r="37" customFormat="false" ht="15" hidden="false" customHeight="true" outlineLevel="0" collapsed="false">
      <c r="B37" s="66" t="s">
        <v>300</v>
      </c>
      <c r="C37" s="67" t="n">
        <v>18</v>
      </c>
      <c r="D37" s="68" t="s">
        <v>21</v>
      </c>
      <c r="E37" s="69" t="s">
        <v>441</v>
      </c>
      <c r="F37" s="70" t="n">
        <f aca="false">IF($E37="","",IFERROR(LOOKUP(VALUE(LEFT($E37&amp;"",FIND("-",$E37&amp;"-")-1)),$C$54:$C$59,$D$54:$D$59),""))</f>
        <v>0</v>
      </c>
      <c r="G37" s="71"/>
      <c r="H37" s="72" t="str">
        <f aca="false">IF($G37="","n/a",IF($F37=$G37,"ok","MISMATCH"))</f>
        <v>n/a</v>
      </c>
      <c r="I37" s="73"/>
      <c r="J37" s="74" t="s">
        <v>451</v>
      </c>
      <c r="L37" s="38" t="s">
        <v>300</v>
      </c>
    </row>
    <row r="38" customFormat="false" ht="15" hidden="false" customHeight="true" outlineLevel="0" collapsed="false">
      <c r="B38" s="66" t="s">
        <v>452</v>
      </c>
      <c r="C38" s="67" t="n">
        <v>29</v>
      </c>
      <c r="D38" s="68" t="s">
        <v>21</v>
      </c>
      <c r="E38" s="69" t="s">
        <v>441</v>
      </c>
      <c r="F38" s="70" t="n">
        <f aca="false">IF($E38="","",IFERROR(LOOKUP(VALUE(LEFT($E38&amp;"",FIND("-",$E38&amp;"-")-1)),$C$54:$C$59,$D$54:$D$59),""))</f>
        <v>0</v>
      </c>
      <c r="G38" s="71"/>
      <c r="H38" s="72" t="str">
        <f aca="false">IF($G38="","n/a",IF($F38=$G38,"ok","MISMATCH"))</f>
        <v>n/a</v>
      </c>
      <c r="I38" s="73"/>
      <c r="J38" s="75"/>
      <c r="L38" s="38" t="s">
        <v>452</v>
      </c>
    </row>
    <row r="39" customFormat="false" ht="15" hidden="false" customHeight="true" outlineLevel="0" collapsed="false">
      <c r="B39" s="66" t="s">
        <v>453</v>
      </c>
      <c r="C39" s="67" t="n">
        <v>31</v>
      </c>
      <c r="D39" s="68" t="s">
        <v>32</v>
      </c>
      <c r="E39" s="69" t="s">
        <v>441</v>
      </c>
      <c r="F39" s="70" t="n">
        <f aca="false">IF($E39="","",IFERROR(LOOKUP(VALUE(LEFT($E39&amp;"",FIND("-",$E39&amp;"-")-1)),$C$54:$C$59,$D$54:$D$59),""))</f>
        <v>0</v>
      </c>
      <c r="G39" s="71"/>
      <c r="H39" s="72" t="str">
        <f aca="false">IF($G39="","n/a",IF($F39=$G39,"ok","MISMATCH"))</f>
        <v>n/a</v>
      </c>
      <c r="I39" s="73"/>
      <c r="J39" s="75"/>
      <c r="L39" s="38" t="s">
        <v>453</v>
      </c>
    </row>
    <row r="40" customFormat="false" ht="15" hidden="false" customHeight="true" outlineLevel="0" collapsed="false">
      <c r="B40" s="66" t="s">
        <v>454</v>
      </c>
      <c r="C40" s="67" t="n">
        <v>4</v>
      </c>
      <c r="D40" s="68" t="s">
        <v>32</v>
      </c>
      <c r="E40" s="69" t="s">
        <v>441</v>
      </c>
      <c r="F40" s="70" t="n">
        <f aca="false">IF($E40="","",IFERROR(LOOKUP(VALUE(LEFT($E40&amp;"",FIND("-",$E40&amp;"-")-1)),$C$54:$C$59,$D$54:$D$59),""))</f>
        <v>0</v>
      </c>
      <c r="G40" s="71"/>
      <c r="H40" s="72" t="str">
        <f aca="false">IF($G40="","n/a",IF($F40=$G40,"ok","MISMATCH"))</f>
        <v>n/a</v>
      </c>
      <c r="I40" s="73"/>
      <c r="J40" s="74" t="s">
        <v>455</v>
      </c>
      <c r="L40" s="76" t="s">
        <v>154</v>
      </c>
    </row>
    <row r="41" customFormat="false" ht="15" hidden="false" customHeight="true" outlineLevel="0" collapsed="false">
      <c r="B41" s="66" t="s">
        <v>456</v>
      </c>
      <c r="C41" s="67" t="n">
        <v>26</v>
      </c>
      <c r="D41" s="68" t="s">
        <v>32</v>
      </c>
      <c r="E41" s="69" t="s">
        <v>441</v>
      </c>
      <c r="F41" s="70" t="n">
        <f aca="false">IF($E41="","",IFERROR(LOOKUP(VALUE(LEFT($E41&amp;"",FIND("-",$E41&amp;"-")-1)),$C$54:$C$59,$D$54:$D$59),""))</f>
        <v>0</v>
      </c>
      <c r="G41" s="71"/>
      <c r="H41" s="72" t="str">
        <f aca="false">IF($G41="","n/a",IF($F41=$G41,"ok","MISMATCH"))</f>
        <v>n/a</v>
      </c>
      <c r="I41" s="73"/>
      <c r="J41" s="74" t="s">
        <v>457</v>
      </c>
      <c r="L41" s="38" t="s">
        <v>456</v>
      </c>
    </row>
    <row r="42" customFormat="false" ht="15" hidden="false" customHeight="true" outlineLevel="0" collapsed="false">
      <c r="B42" s="66" t="s">
        <v>336</v>
      </c>
      <c r="C42" s="67" t="n">
        <v>38</v>
      </c>
      <c r="D42" s="68" t="s">
        <v>32</v>
      </c>
      <c r="E42" s="69" t="s">
        <v>441</v>
      </c>
      <c r="F42" s="70" t="n">
        <f aca="false">IF($E42="","",IFERROR(LOOKUP(VALUE(LEFT($E42&amp;"",FIND("-",$E42&amp;"-")-1)),$C$54:$C$59,$D$54:$D$59),""))</f>
        <v>0</v>
      </c>
      <c r="G42" s="71" t="n">
        <v>0</v>
      </c>
      <c r="H42" s="72" t="str">
        <f aca="false">IF($G42="","n/a",IF($F42=$G42,"ok","MISMATCH"))</f>
        <v>ok</v>
      </c>
      <c r="I42" s="73"/>
      <c r="J42" s="74" t="s">
        <v>458</v>
      </c>
      <c r="L42" s="38" t="s">
        <v>336</v>
      </c>
    </row>
    <row r="44" customFormat="false" ht="15" hidden="false" customHeight="true" outlineLevel="0" collapsed="false">
      <c r="B44" s="11" t="s">
        <v>459</v>
      </c>
      <c r="F44" s="77" t="n">
        <f aca="false">SUM(F11:F42)</f>
        <v>3350</v>
      </c>
    </row>
    <row r="45" customFormat="false" ht="15" hidden="false" customHeight="true" outlineLevel="0" collapsed="false">
      <c r="B45" s="18" t="s">
        <v>460</v>
      </c>
    </row>
    <row r="51" customFormat="false" ht="15" hidden="false" customHeight="true" outlineLevel="0" collapsed="false">
      <c r="B51" s="11" t="s">
        <v>461</v>
      </c>
    </row>
    <row r="52" customFormat="false" ht="15" hidden="false" customHeight="true" outlineLevel="0" collapsed="false">
      <c r="B52" s="78" t="s">
        <v>462</v>
      </c>
    </row>
    <row r="53" customFormat="false" ht="15" hidden="false" customHeight="true" outlineLevel="0" collapsed="false">
      <c r="B53" s="4" t="s">
        <v>463</v>
      </c>
      <c r="C53" s="4" t="s">
        <v>464</v>
      </c>
      <c r="D53" s="4" t="s">
        <v>465</v>
      </c>
    </row>
    <row r="54" customFormat="false" ht="15" hidden="false" customHeight="true" outlineLevel="0" collapsed="false">
      <c r="C54" s="13" t="n">
        <v>1</v>
      </c>
      <c r="D54" s="79" t="n">
        <v>1000</v>
      </c>
      <c r="E54" s="80" t="s">
        <v>466</v>
      </c>
    </row>
    <row r="55" customFormat="false" ht="15" hidden="false" customHeight="true" outlineLevel="0" collapsed="false">
      <c r="C55" s="13" t="n">
        <v>2</v>
      </c>
      <c r="D55" s="79" t="n">
        <v>750</v>
      </c>
      <c r="E55" s="80" t="s">
        <v>467</v>
      </c>
    </row>
    <row r="56" customFormat="false" ht="15" hidden="false" customHeight="true" outlineLevel="0" collapsed="false">
      <c r="C56" s="13" t="n">
        <v>3</v>
      </c>
      <c r="D56" s="79" t="n">
        <v>500</v>
      </c>
      <c r="E56" s="80" t="s">
        <v>468</v>
      </c>
    </row>
    <row r="57" customFormat="false" ht="15" hidden="false" customHeight="true" outlineLevel="0" collapsed="false">
      <c r="C57" s="13" t="n">
        <v>4</v>
      </c>
      <c r="D57" s="79" t="n">
        <v>300</v>
      </c>
      <c r="E57" s="80" t="s">
        <v>469</v>
      </c>
    </row>
    <row r="58" customFormat="false" ht="15" hidden="false" customHeight="true" outlineLevel="0" collapsed="false">
      <c r="C58" s="13" t="n">
        <v>5</v>
      </c>
      <c r="D58" s="79" t="n">
        <v>200</v>
      </c>
      <c r="E58" s="80" t="s">
        <v>470</v>
      </c>
    </row>
    <row r="59" customFormat="false" ht="15" hidden="false" customHeight="true" outlineLevel="0" collapsed="false">
      <c r="C59" s="13" t="n">
        <v>9</v>
      </c>
      <c r="D59" s="79" t="n">
        <v>0</v>
      </c>
      <c r="E59" s="80" t="s">
        <v>471</v>
      </c>
    </row>
    <row r="62" customFormat="false" ht="15" hidden="false" customHeight="true" outlineLevel="0" collapsed="false">
      <c r="B62" s="11" t="s">
        <v>472</v>
      </c>
    </row>
    <row r="63" customFormat="false" ht="15" hidden="false" customHeight="true" outlineLevel="0" collapsed="false">
      <c r="B63" s="18" t="s">
        <v>473</v>
      </c>
    </row>
    <row r="64" customFormat="false" ht="23.25" hidden="false" customHeight="true" outlineLevel="0" collapsed="false">
      <c r="B64" s="4" t="s">
        <v>474</v>
      </c>
      <c r="C64" s="4" t="s">
        <v>475</v>
      </c>
      <c r="D64" s="4" t="s">
        <v>476</v>
      </c>
      <c r="E64" s="4" t="s">
        <v>477</v>
      </c>
      <c r="F64" s="4" t="s">
        <v>478</v>
      </c>
      <c r="G64" s="4" t="s">
        <v>479</v>
      </c>
    </row>
    <row r="65" customFormat="false" ht="15" hidden="false" customHeight="true" outlineLevel="0" collapsed="false">
      <c r="B65" s="81" t="s">
        <v>175</v>
      </c>
      <c r="C65" s="82" t="n">
        <v>2</v>
      </c>
      <c r="D65" s="82" t="n">
        <v>1990</v>
      </c>
      <c r="E65" s="82" t="n">
        <v>1</v>
      </c>
      <c r="F65" s="82" t="n">
        <v>2011</v>
      </c>
      <c r="G65" s="83" t="n">
        <v>1</v>
      </c>
    </row>
    <row r="66" customFormat="false" ht="15" hidden="false" customHeight="true" outlineLevel="0" collapsed="false">
      <c r="B66" s="81" t="s">
        <v>184</v>
      </c>
      <c r="C66" s="82" t="n">
        <v>12</v>
      </c>
      <c r="D66" s="82" t="n">
        <v>1694</v>
      </c>
      <c r="E66" s="82" t="n">
        <v>14</v>
      </c>
      <c r="F66" s="82" t="n">
        <v>1663</v>
      </c>
      <c r="G66" s="83" t="n">
        <v>-2</v>
      </c>
    </row>
    <row r="67" customFormat="false" ht="15" hidden="false" customHeight="true" outlineLevel="0" collapsed="false">
      <c r="B67" s="81" t="s">
        <v>429</v>
      </c>
      <c r="C67" s="82" t="n">
        <v>6</v>
      </c>
      <c r="D67" s="82" t="n">
        <v>1856</v>
      </c>
      <c r="E67" s="82" t="n">
        <v>7</v>
      </c>
      <c r="F67" s="82" t="n">
        <v>1773</v>
      </c>
      <c r="G67" s="83" t="n">
        <v>-1</v>
      </c>
    </row>
    <row r="68" customFormat="false" ht="15" hidden="false" customHeight="true" outlineLevel="0" collapsed="false">
      <c r="B68" s="81" t="s">
        <v>181</v>
      </c>
      <c r="C68" s="82" t="n">
        <v>11</v>
      </c>
      <c r="D68" s="82" t="n">
        <v>1716</v>
      </c>
      <c r="E68" s="82" t="n">
        <v>8</v>
      </c>
      <c r="F68" s="82" t="n">
        <v>1771</v>
      </c>
      <c r="G68" s="83" t="n">
        <v>3</v>
      </c>
    </row>
    <row r="69" customFormat="false" ht="15" hidden="false" customHeight="true" outlineLevel="0" collapsed="false">
      <c r="B69" s="81" t="s">
        <v>215</v>
      </c>
      <c r="C69" s="82" t="n">
        <v>13</v>
      </c>
      <c r="D69" s="82" t="n">
        <v>1683</v>
      </c>
      <c r="E69" s="82" t="n">
        <v>11</v>
      </c>
      <c r="F69" s="82" t="n">
        <v>1688</v>
      </c>
      <c r="G69" s="83" t="n">
        <v>2</v>
      </c>
    </row>
    <row r="70" customFormat="false" ht="15" hidden="false" customHeight="true" outlineLevel="0" collapsed="false">
      <c r="B70" s="81" t="s">
        <v>224</v>
      </c>
      <c r="C70" s="82" t="n">
        <v>5</v>
      </c>
      <c r="D70" s="82" t="n">
        <v>1859</v>
      </c>
      <c r="E70" s="82" t="n">
        <v>3</v>
      </c>
      <c r="F70" s="82" t="n">
        <v>1873</v>
      </c>
      <c r="G70" s="83" t="n">
        <v>2</v>
      </c>
    </row>
    <row r="71" customFormat="false" ht="15" hidden="false" customHeight="true" outlineLevel="0" collapsed="false">
      <c r="B71" s="81" t="s">
        <v>114</v>
      </c>
      <c r="C71" s="82" t="n">
        <v>3</v>
      </c>
      <c r="D71" s="82" t="n">
        <v>1954</v>
      </c>
      <c r="E71" s="82" t="n">
        <v>2</v>
      </c>
      <c r="F71" s="82" t="n">
        <v>1950</v>
      </c>
      <c r="G71" s="83" t="n">
        <v>1</v>
      </c>
    </row>
    <row r="72" customFormat="false" ht="15" hidden="false" customHeight="true" outlineLevel="0" collapsed="false">
      <c r="B72" s="81" t="s">
        <v>119</v>
      </c>
      <c r="C72" s="82" t="n">
        <v>1</v>
      </c>
      <c r="D72" s="82" t="n">
        <v>2024</v>
      </c>
      <c r="E72" s="82" t="n">
        <v>5</v>
      </c>
      <c r="F72" s="82" t="n">
        <v>1836</v>
      </c>
      <c r="G72" s="83" t="n">
        <v>-4</v>
      </c>
    </row>
    <row r="73" customFormat="false" ht="15" hidden="false" customHeight="true" outlineLevel="0" collapsed="false">
      <c r="B73" s="81" t="s">
        <v>364</v>
      </c>
      <c r="C73" s="82" t="n">
        <v>9</v>
      </c>
      <c r="D73" s="82" t="n">
        <v>1724</v>
      </c>
      <c r="E73" s="82" t="n">
        <v>22</v>
      </c>
      <c r="F73" s="82" t="n">
        <v>1504</v>
      </c>
      <c r="G73" s="83" t="n">
        <v>-13</v>
      </c>
    </row>
    <row r="74" customFormat="false" ht="15" hidden="false" customHeight="true" outlineLevel="0" collapsed="false">
      <c r="B74" s="81" t="s">
        <v>157</v>
      </c>
      <c r="C74" s="82" t="n">
        <v>8</v>
      </c>
      <c r="D74" s="82" t="n">
        <v>1741</v>
      </c>
      <c r="E74" s="82" t="n">
        <v>10</v>
      </c>
      <c r="F74" s="82" t="n">
        <v>1690</v>
      </c>
      <c r="G74" s="83" t="n">
        <v>-2</v>
      </c>
    </row>
    <row r="75" customFormat="false" ht="15" hidden="false" customHeight="true" outlineLevel="0" collapsed="false">
      <c r="B75" s="81" t="s">
        <v>281</v>
      </c>
      <c r="C75" s="82" t="n">
        <v>22</v>
      </c>
      <c r="D75" s="82" t="n">
        <v>1492</v>
      </c>
      <c r="E75" s="82" t="n">
        <v>13</v>
      </c>
      <c r="F75" s="82" t="n">
        <v>1677</v>
      </c>
      <c r="G75" s="83" t="n">
        <v>9</v>
      </c>
    </row>
    <row r="76" customFormat="false" ht="15" hidden="false" customHeight="true" outlineLevel="0" collapsed="false">
      <c r="B76" s="81" t="s">
        <v>436</v>
      </c>
      <c r="C76" s="82" t="n">
        <v>10</v>
      </c>
      <c r="D76" s="82" t="n">
        <v>1721</v>
      </c>
      <c r="E76" s="82" t="n">
        <v>19</v>
      </c>
      <c r="F76" s="82" t="n">
        <v>1555</v>
      </c>
      <c r="G76" s="83" t="n">
        <v>-9</v>
      </c>
    </row>
    <row r="77" customFormat="false" ht="15" hidden="false" customHeight="true" outlineLevel="0" collapsed="false">
      <c r="B77" s="81" t="s">
        <v>438</v>
      </c>
      <c r="C77" s="82" t="n">
        <v>16</v>
      </c>
      <c r="D77" s="82" t="n">
        <v>1582</v>
      </c>
      <c r="E77" s="82" t="n">
        <v>20</v>
      </c>
      <c r="F77" s="82" t="n">
        <v>1550</v>
      </c>
      <c r="G77" s="83" t="n">
        <v>-4</v>
      </c>
    </row>
    <row r="78" customFormat="false" ht="15" hidden="false" customHeight="true" outlineLevel="0" collapsed="false">
      <c r="B78" s="81" t="s">
        <v>165</v>
      </c>
      <c r="C78" s="82" t="n">
        <v>4</v>
      </c>
      <c r="D78" s="82" t="n">
        <v>1940</v>
      </c>
      <c r="E78" s="82" t="n">
        <v>6</v>
      </c>
      <c r="F78" s="82" t="n">
        <v>1802</v>
      </c>
      <c r="G78" s="83" t="n">
        <v>-2</v>
      </c>
    </row>
    <row r="79" customFormat="false" ht="15" hidden="false" customHeight="true" outlineLevel="0" collapsed="false">
      <c r="B79" s="81" t="s">
        <v>399</v>
      </c>
      <c r="C79" s="82" t="n">
        <v>18</v>
      </c>
      <c r="D79" s="82" t="n">
        <v>1550</v>
      </c>
      <c r="E79" s="82" t="n">
        <v>23</v>
      </c>
      <c r="F79" s="82" t="n">
        <v>1478</v>
      </c>
      <c r="G79" s="83" t="n">
        <v>-5</v>
      </c>
    </row>
    <row r="80" customFormat="false" ht="15" hidden="false" customHeight="true" outlineLevel="0" collapsed="false">
      <c r="B80" s="81" t="s">
        <v>334</v>
      </c>
      <c r="C80" s="82" t="n">
        <v>7</v>
      </c>
      <c r="D80" s="82" t="n">
        <v>1763</v>
      </c>
      <c r="E80" s="82" t="n">
        <v>15</v>
      </c>
      <c r="F80" s="82" t="n">
        <v>1637</v>
      </c>
      <c r="G80" s="83" t="n">
        <v>-8</v>
      </c>
    </row>
    <row r="81" customFormat="false" ht="15" hidden="false" customHeight="true" outlineLevel="0" collapsed="false">
      <c r="B81" s="81" t="s">
        <v>440</v>
      </c>
      <c r="C81" s="82" t="n">
        <v>44</v>
      </c>
      <c r="D81" s="82" t="n">
        <v>1315</v>
      </c>
      <c r="E81" s="82" t="n">
        <v>58</v>
      </c>
      <c r="F81" s="82" t="n">
        <v>1159</v>
      </c>
      <c r="G81" s="83" t="n">
        <v>-14</v>
      </c>
    </row>
    <row r="82" customFormat="false" ht="15" hidden="false" customHeight="true" outlineLevel="0" collapsed="false">
      <c r="B82" s="81" t="s">
        <v>443</v>
      </c>
      <c r="C82" s="82"/>
      <c r="D82" s="82"/>
      <c r="E82" s="82" t="n">
        <v>24</v>
      </c>
      <c r="F82" s="82" t="n">
        <v>1468</v>
      </c>
      <c r="G82" s="83"/>
    </row>
    <row r="83" customFormat="false" ht="15" hidden="false" customHeight="true" outlineLevel="0" collapsed="false">
      <c r="B83" s="81" t="s">
        <v>292</v>
      </c>
      <c r="C83" s="82" t="n">
        <v>33</v>
      </c>
      <c r="D83" s="82" t="n">
        <v>1385</v>
      </c>
      <c r="E83" s="82" t="n">
        <v>36</v>
      </c>
      <c r="F83" s="82" t="n">
        <v>1361</v>
      </c>
      <c r="G83" s="83" t="n">
        <v>-3</v>
      </c>
    </row>
    <row r="84" customFormat="false" ht="15" hidden="false" customHeight="true" outlineLevel="0" collapsed="false">
      <c r="B84" s="81" t="s">
        <v>273</v>
      </c>
      <c r="C84" s="82" t="n">
        <v>28</v>
      </c>
      <c r="D84" s="82" t="n">
        <v>1416</v>
      </c>
      <c r="E84" s="82" t="n">
        <v>21</v>
      </c>
      <c r="F84" s="82" t="n">
        <v>1516</v>
      </c>
      <c r="G84" s="83" t="n">
        <v>7</v>
      </c>
    </row>
    <row r="85" customFormat="false" ht="15" hidden="false" customHeight="true" outlineLevel="0" collapsed="false">
      <c r="B85" s="81" t="s">
        <v>446</v>
      </c>
      <c r="C85" s="82" t="n">
        <v>42</v>
      </c>
      <c r="D85" s="82" t="n">
        <v>1323</v>
      </c>
      <c r="E85" s="82" t="n">
        <v>39</v>
      </c>
      <c r="F85" s="82" t="n">
        <v>1319</v>
      </c>
      <c r="G85" s="83" t="n">
        <v>3</v>
      </c>
    </row>
    <row r="86" customFormat="false" ht="15" hidden="false" customHeight="true" outlineLevel="0" collapsed="false">
      <c r="B86" s="81" t="s">
        <v>447</v>
      </c>
      <c r="C86" s="82" t="n">
        <v>20</v>
      </c>
      <c r="D86" s="82" t="n">
        <v>1535</v>
      </c>
      <c r="E86" s="82" t="n">
        <v>16</v>
      </c>
      <c r="F86" s="82" t="n">
        <v>1611</v>
      </c>
      <c r="G86" s="83" t="n">
        <v>4</v>
      </c>
    </row>
    <row r="87" customFormat="false" ht="15" hidden="false" customHeight="true" outlineLevel="0" collapsed="false">
      <c r="B87" s="81" t="s">
        <v>448</v>
      </c>
      <c r="C87" s="82" t="n">
        <v>17</v>
      </c>
      <c r="D87" s="82" t="n">
        <v>1562</v>
      </c>
      <c r="E87" s="82" t="n">
        <v>9</v>
      </c>
      <c r="F87" s="82" t="n">
        <v>1742</v>
      </c>
      <c r="G87" s="83" t="n">
        <v>8</v>
      </c>
    </row>
    <row r="88" customFormat="false" ht="15" hidden="false" customHeight="true" outlineLevel="0" collapsed="false">
      <c r="B88" s="81" t="s">
        <v>152</v>
      </c>
      <c r="C88" s="82" t="n">
        <v>23</v>
      </c>
      <c r="D88" s="82" t="n">
        <v>1460</v>
      </c>
      <c r="E88" s="82" t="n">
        <v>27</v>
      </c>
      <c r="F88" s="82" t="n">
        <v>1444</v>
      </c>
      <c r="G88" s="83" t="n">
        <v>-4</v>
      </c>
    </row>
    <row r="89" customFormat="false" ht="15" hidden="false" customHeight="true" outlineLevel="0" collapsed="false">
      <c r="B89" s="81" t="s">
        <v>230</v>
      </c>
      <c r="C89" s="82" t="n">
        <v>47</v>
      </c>
      <c r="D89" s="82" t="n">
        <v>1275</v>
      </c>
      <c r="E89" s="82" t="n">
        <v>40</v>
      </c>
      <c r="F89" s="82" t="n">
        <v>1310</v>
      </c>
      <c r="G89" s="83" t="n">
        <v>7</v>
      </c>
    </row>
    <row r="90" customFormat="false" ht="15" hidden="false" customHeight="true" outlineLevel="0" collapsed="false">
      <c r="B90" s="81" t="s">
        <v>382</v>
      </c>
      <c r="C90" s="82" t="n">
        <v>14</v>
      </c>
      <c r="D90" s="82" t="n">
        <v>1679</v>
      </c>
      <c r="E90" s="82" t="n">
        <v>12</v>
      </c>
      <c r="F90" s="82" t="n">
        <v>1685</v>
      </c>
      <c r="G90" s="83" t="n">
        <v>2</v>
      </c>
    </row>
    <row r="91" customFormat="false" ht="15" hidden="false" customHeight="true" outlineLevel="0" collapsed="false">
      <c r="B91" s="81" t="s">
        <v>300</v>
      </c>
      <c r="C91" s="82" t="n">
        <v>32</v>
      </c>
      <c r="D91" s="82" t="n">
        <v>1395</v>
      </c>
      <c r="E91" s="82" t="n">
        <v>18</v>
      </c>
      <c r="F91" s="82" t="n">
        <v>1565</v>
      </c>
      <c r="G91" s="83" t="n">
        <v>14</v>
      </c>
    </row>
    <row r="92" customFormat="false" ht="15" hidden="false" customHeight="true" outlineLevel="0" collapsed="false">
      <c r="B92" s="81" t="s">
        <v>452</v>
      </c>
      <c r="C92" s="82" t="n">
        <v>24</v>
      </c>
      <c r="D92" s="82" t="n">
        <v>1443</v>
      </c>
      <c r="E92" s="82" t="n">
        <v>29</v>
      </c>
      <c r="F92" s="82" t="n">
        <v>1431</v>
      </c>
      <c r="G92" s="83" t="n">
        <v>-5</v>
      </c>
    </row>
    <row r="93" customFormat="false" ht="15" hidden="false" customHeight="true" outlineLevel="0" collapsed="false">
      <c r="B93" s="81" t="s">
        <v>453</v>
      </c>
      <c r="C93" s="82" t="n">
        <v>26</v>
      </c>
      <c r="D93" s="82" t="n">
        <v>1429</v>
      </c>
      <c r="E93" s="82" t="n">
        <v>31</v>
      </c>
      <c r="F93" s="82" t="n">
        <v>1410</v>
      </c>
      <c r="G93" s="83" t="n">
        <v>-5</v>
      </c>
    </row>
    <row r="94" customFormat="false" ht="15" hidden="false" customHeight="true" outlineLevel="0" collapsed="false">
      <c r="B94" s="81" t="s">
        <v>454</v>
      </c>
      <c r="C94" s="82" t="n">
        <v>15</v>
      </c>
      <c r="D94" s="82" t="n">
        <v>1633</v>
      </c>
      <c r="E94" s="82" t="n">
        <v>4</v>
      </c>
      <c r="F94" s="82" t="n">
        <v>1847</v>
      </c>
      <c r="G94" s="83" t="n">
        <v>11</v>
      </c>
    </row>
    <row r="95" customFormat="false" ht="15" hidden="false" customHeight="true" outlineLevel="0" collapsed="false">
      <c r="B95" s="81" t="s">
        <v>456</v>
      </c>
      <c r="C95" s="82" t="n">
        <v>19</v>
      </c>
      <c r="D95" s="82" t="n">
        <v>1549</v>
      </c>
      <c r="E95" s="82" t="n">
        <v>26</v>
      </c>
      <c r="F95" s="82" t="n">
        <v>1446</v>
      </c>
      <c r="G95" s="83" t="n">
        <v>-7</v>
      </c>
    </row>
    <row r="96" customFormat="false" ht="15" hidden="false" customHeight="true" outlineLevel="0" collapsed="false">
      <c r="B96" s="81" t="s">
        <v>336</v>
      </c>
      <c r="C96" s="82" t="n">
        <v>25</v>
      </c>
      <c r="D96" s="82" t="n">
        <v>1431</v>
      </c>
      <c r="E96" s="82" t="n">
        <v>38</v>
      </c>
      <c r="F96" s="82" t="n">
        <v>1352</v>
      </c>
      <c r="G96" s="83" t="n">
        <v>-13</v>
      </c>
    </row>
  </sheetData>
  <sheetProtection sheet="true" formatCells="false" selectLockedCells="true" selectUnlockedCells="true"/>
  <dataValidations count="1">
    <dataValidation allowBlank="true" error="Pick a placement from the list — free text breaks the points lookup." errorStyle="stop" errorTitle="Use the dropdown" operator="between" showDropDown="false" showErrorMessage="false" showInputMessage="false" sqref="E11:E42" type="list">
      <formula1>"1,2,3,4,5-8,9-16,17-32"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23"/>
    <col collapsed="false" customWidth="true" hidden="false" outlineLevel="0" max="4" min="4" style="1" width="15"/>
    <col collapsed="false" customWidth="true" hidden="false" outlineLevel="0" max="5" min="5" style="1" width="11"/>
    <col collapsed="false" customWidth="true" hidden="false" outlineLevel="0" max="6" min="6" style="1" width="12"/>
    <col collapsed="false" customWidth="true" hidden="false" outlineLevel="0" max="7" min="7" style="1" width="15"/>
    <col collapsed="false" customWidth="true" hidden="false" outlineLevel="0" max="8" min="8" style="1" width="10"/>
    <col collapsed="false" customWidth="true" hidden="false" outlineLevel="0" max="9" min="9" style="1" width="12"/>
    <col collapsed="false" customWidth="true" hidden="false" outlineLevel="0" max="10" min="10" style="1" width="34"/>
  </cols>
  <sheetData>
    <row r="2" customFormat="false" ht="18" hidden="false" customHeight="true" outlineLevel="0" collapsed="false">
      <c r="B2" s="2" t="s">
        <v>480</v>
      </c>
    </row>
    <row r="3" customFormat="false" ht="15" hidden="false" customHeight="true" outlineLevel="0" collapsed="false">
      <c r="B3" s="18" t="s">
        <v>481</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482</v>
      </c>
      <c r="D6" s="28" t="s">
        <v>483</v>
      </c>
      <c r="F6" s="28" t="s">
        <v>484</v>
      </c>
      <c r="H6" s="28" t="s">
        <v>413</v>
      </c>
      <c r="J6" s="28" t="s">
        <v>485</v>
      </c>
      <c r="L6" s="28" t="s">
        <v>486</v>
      </c>
    </row>
    <row r="8" customFormat="false" ht="15" hidden="false" customHeight="true" outlineLevel="0" collapsed="false">
      <c r="B8" s="11" t="s">
        <v>416</v>
      </c>
    </row>
    <row r="9" customFormat="false" ht="15" hidden="false" customHeight="true" outlineLevel="0" collapsed="false">
      <c r="B9" s="18" t="s">
        <v>487</v>
      </c>
    </row>
    <row r="10" customFormat="false" ht="34.5" hidden="false" customHeight="true" outlineLevel="0" collapsed="false">
      <c r="B10" s="4" t="s">
        <v>418</v>
      </c>
      <c r="C10" s="4" t="s">
        <v>488</v>
      </c>
      <c r="D10" s="4" t="s">
        <v>489</v>
      </c>
      <c r="E10" s="4" t="s">
        <v>421</v>
      </c>
      <c r="F10" s="4" t="s">
        <v>422</v>
      </c>
      <c r="G10" s="4" t="s">
        <v>423</v>
      </c>
      <c r="H10" s="4" t="s">
        <v>424</v>
      </c>
      <c r="I10" s="4" t="s">
        <v>425</v>
      </c>
      <c r="J10" s="4" t="s">
        <v>490</v>
      </c>
      <c r="L10" s="4" t="s">
        <v>426</v>
      </c>
    </row>
    <row r="11" customFormat="false" ht="15" hidden="false" customHeight="true" outlineLevel="0" collapsed="false">
      <c r="B11" s="84" t="s">
        <v>141</v>
      </c>
      <c r="C11" s="29" t="s">
        <v>491</v>
      </c>
      <c r="D11" s="32" t="n">
        <v>1</v>
      </c>
      <c r="E11" s="32" t="s">
        <v>427</v>
      </c>
      <c r="F11" s="33" t="n">
        <f aca="false">IF($E11="","",IFERROR(LOOKUP(VALUE(LEFT($E11&amp;"",FIND("-",$E11&amp;"-")-1)),$C$44:$C$49,$D$44:$D$49),""))</f>
        <v>1000</v>
      </c>
      <c r="G11" s="34" t="n">
        <v>1000</v>
      </c>
      <c r="H11" s="35" t="str">
        <f aca="false">IF($G11="","n/a",IF($F11=$G11,"ok","MISMATCH"))</f>
        <v>ok</v>
      </c>
      <c r="I11" s="36" t="n">
        <v>250000</v>
      </c>
      <c r="J11" s="85" t="s">
        <v>492</v>
      </c>
      <c r="L11" s="38" t="s">
        <v>141</v>
      </c>
    </row>
    <row r="12" customFormat="false" ht="15" hidden="false" customHeight="true" outlineLevel="0" collapsed="false">
      <c r="B12" s="86" t="s">
        <v>127</v>
      </c>
      <c r="C12" s="39" t="s">
        <v>493</v>
      </c>
      <c r="D12" s="42" t="n">
        <v>17</v>
      </c>
      <c r="E12" s="42" t="s">
        <v>428</v>
      </c>
      <c r="F12" s="43" t="n">
        <f aca="false">IF($E12="","",IFERROR(LOOKUP(VALUE(LEFT($E12&amp;"",FIND("-",$E12&amp;"-")-1)),$C$44:$C$49,$D$44:$D$49),""))</f>
        <v>750</v>
      </c>
      <c r="G12" s="44" t="n">
        <v>750</v>
      </c>
      <c r="H12" s="45" t="str">
        <f aca="false">IF($G12="","n/a",IF($F12=$G12,"ok","MISMATCH"))</f>
        <v>ok</v>
      </c>
      <c r="I12" s="46" t="n">
        <v>190000</v>
      </c>
      <c r="J12" s="87" t="s">
        <v>494</v>
      </c>
      <c r="L12" s="38" t="s">
        <v>127</v>
      </c>
    </row>
    <row r="13" customFormat="false" ht="15" hidden="false" customHeight="true" outlineLevel="0" collapsed="false">
      <c r="B13" s="88" t="s">
        <v>114</v>
      </c>
      <c r="C13" s="48" t="s">
        <v>495</v>
      </c>
      <c r="D13" s="51" t="n">
        <v>4</v>
      </c>
      <c r="E13" s="51" t="s">
        <v>430</v>
      </c>
      <c r="F13" s="52" t="n">
        <f aca="false">IF($E13="","",IFERROR(LOOKUP(VALUE(LEFT($E13&amp;"",FIND("-",$E13&amp;"-")-1)),$C$44:$C$49,$D$44:$D$49),""))</f>
        <v>500</v>
      </c>
      <c r="G13" s="53" t="n">
        <v>500</v>
      </c>
      <c r="H13" s="54" t="str">
        <f aca="false">IF($G13="","n/a",IF($F13=$G13,"ok","MISMATCH"))</f>
        <v>ok</v>
      </c>
      <c r="I13" s="55" t="n">
        <v>145000</v>
      </c>
      <c r="J13" s="89" t="s">
        <v>496</v>
      </c>
      <c r="L13" s="38" t="s">
        <v>114</v>
      </c>
    </row>
    <row r="14" customFormat="false" ht="15" hidden="false" customHeight="true" outlineLevel="0" collapsed="false">
      <c r="B14" s="90" t="s">
        <v>114</v>
      </c>
      <c r="C14" s="57" t="s">
        <v>497</v>
      </c>
      <c r="D14" s="60" t="n">
        <v>2</v>
      </c>
      <c r="E14" s="60" t="s">
        <v>431</v>
      </c>
      <c r="F14" s="61" t="n">
        <f aca="false">IF($E14="","",IFERROR(LOOKUP(VALUE(LEFT($E14&amp;"",FIND("-",$E14&amp;"-")-1)),$C$44:$C$49,$D$44:$D$49),""))</f>
        <v>300</v>
      </c>
      <c r="G14" s="62"/>
      <c r="H14" s="63" t="str">
        <f aca="false">IF($G14="","n/a",IF($F14=$G14,"ok","MISMATCH"))</f>
        <v>n/a</v>
      </c>
      <c r="I14" s="64" t="n">
        <v>100000</v>
      </c>
      <c r="J14" s="91" t="s">
        <v>498</v>
      </c>
      <c r="L14" s="38" t="s">
        <v>114</v>
      </c>
    </row>
    <row r="15" customFormat="false" ht="15" hidden="false" customHeight="true" outlineLevel="0" collapsed="false">
      <c r="B15" s="90" t="s">
        <v>131</v>
      </c>
      <c r="C15" s="57" t="s">
        <v>499</v>
      </c>
      <c r="D15" s="60" t="n">
        <v>9</v>
      </c>
      <c r="E15" s="60" t="s">
        <v>432</v>
      </c>
      <c r="F15" s="61" t="n">
        <f aca="false">IF($E15="","",IFERROR(LOOKUP(VALUE(LEFT($E15&amp;"",FIND("-",$E15&amp;"-")-1)),$C$44:$C$49,$D$44:$D$49),""))</f>
        <v>200</v>
      </c>
      <c r="G15" s="62" t="n">
        <v>200</v>
      </c>
      <c r="H15" s="63" t="str">
        <f aca="false">IF($G15="","n/a",IF($F15=$G15,"ok","MISMATCH"))</f>
        <v>ok</v>
      </c>
      <c r="I15" s="64" t="n">
        <v>72500</v>
      </c>
      <c r="J15" s="91" t="s">
        <v>496</v>
      </c>
      <c r="L15" s="38" t="s">
        <v>131</v>
      </c>
    </row>
    <row r="16" customFormat="false" ht="15" hidden="false" customHeight="true" outlineLevel="0" collapsed="false">
      <c r="B16" s="90" t="s">
        <v>500</v>
      </c>
      <c r="C16" s="57" t="s">
        <v>501</v>
      </c>
      <c r="D16" s="60" t="n">
        <v>12</v>
      </c>
      <c r="E16" s="60" t="s">
        <v>432</v>
      </c>
      <c r="F16" s="61" t="n">
        <f aca="false">IF($E16="","",IFERROR(LOOKUP(VALUE(LEFT($E16&amp;"",FIND("-",$E16&amp;"-")-1)),$C$44:$C$49,$D$44:$D$49),""))</f>
        <v>200</v>
      </c>
      <c r="G16" s="62"/>
      <c r="H16" s="63" t="str">
        <f aca="false">IF($G16="","n/a",IF($F16=$G16,"ok","MISMATCH"))</f>
        <v>n/a</v>
      </c>
      <c r="I16" s="64" t="n">
        <v>72500</v>
      </c>
      <c r="J16" s="91" t="s">
        <v>496</v>
      </c>
      <c r="L16" s="76" t="s">
        <v>138</v>
      </c>
    </row>
    <row r="17" customFormat="false" ht="15" hidden="false" customHeight="true" outlineLevel="0" collapsed="false">
      <c r="B17" s="90" t="s">
        <v>165</v>
      </c>
      <c r="C17" s="57" t="s">
        <v>502</v>
      </c>
      <c r="D17" s="60" t="n">
        <v>8</v>
      </c>
      <c r="E17" s="60" t="s">
        <v>432</v>
      </c>
      <c r="F17" s="61" t="n">
        <f aca="false">IF($E17="","",IFERROR(LOOKUP(VALUE(LEFT($E17&amp;"",FIND("-",$E17&amp;"-")-1)),$C$44:$C$49,$D$44:$D$49),""))</f>
        <v>200</v>
      </c>
      <c r="G17" s="62" t="n">
        <v>200</v>
      </c>
      <c r="H17" s="63" t="str">
        <f aca="false">IF($G17="","n/a",IF($F17=$G17,"ok","MISMATCH"))</f>
        <v>ok</v>
      </c>
      <c r="I17" s="64" t="n">
        <v>72500</v>
      </c>
      <c r="J17" s="91" t="s">
        <v>496</v>
      </c>
      <c r="L17" s="38" t="s">
        <v>165</v>
      </c>
    </row>
    <row r="18" customFormat="false" ht="15" hidden="false" customHeight="true" outlineLevel="0" collapsed="false">
      <c r="B18" s="90" t="s">
        <v>161</v>
      </c>
      <c r="C18" s="57" t="s">
        <v>503</v>
      </c>
      <c r="D18" s="60" t="n">
        <v>3</v>
      </c>
      <c r="E18" s="60" t="s">
        <v>432</v>
      </c>
      <c r="F18" s="61" t="n">
        <f aca="false">IF($E18="","",IFERROR(LOOKUP(VALUE(LEFT($E18&amp;"",FIND("-",$E18&amp;"-")-1)),$C$44:$C$49,$D$44:$D$49),""))</f>
        <v>200</v>
      </c>
      <c r="G18" s="62" t="n">
        <v>200</v>
      </c>
      <c r="H18" s="63" t="str">
        <f aca="false">IF($G18="","n/a",IF($F18=$G18,"ok","MISMATCH"))</f>
        <v>ok</v>
      </c>
      <c r="I18" s="64" t="n">
        <v>72500</v>
      </c>
      <c r="J18" s="91" t="s">
        <v>504</v>
      </c>
      <c r="L18" s="38" t="s">
        <v>161</v>
      </c>
    </row>
    <row r="19" customFormat="false" ht="15" hidden="false" customHeight="true" outlineLevel="0" collapsed="false">
      <c r="B19" s="92" t="s">
        <v>150</v>
      </c>
      <c r="C19" s="66" t="s">
        <v>505</v>
      </c>
      <c r="D19" s="69" t="n">
        <v>11</v>
      </c>
      <c r="E19" s="69" t="s">
        <v>506</v>
      </c>
      <c r="F19" s="70" t="n">
        <f aca="false">IF($E19="","",IFERROR(LOOKUP(VALUE(LEFT($E19&amp;"",FIND("-",$E19&amp;"-")-1)),$C$44:$C$49,$D$44:$D$49),""))</f>
        <v>0</v>
      </c>
      <c r="G19" s="71" t="n">
        <v>0</v>
      </c>
      <c r="H19" s="72" t="str">
        <f aca="false">IF($G19="","n/a",IF($F19=$G19,"ok","MISMATCH"))</f>
        <v>ok</v>
      </c>
      <c r="I19" s="73" t="n">
        <v>52500</v>
      </c>
      <c r="J19" s="16" t="s">
        <v>507</v>
      </c>
      <c r="L19" s="38" t="s">
        <v>150</v>
      </c>
    </row>
    <row r="20" customFormat="false" ht="15" hidden="false" customHeight="true" outlineLevel="0" collapsed="false">
      <c r="B20" s="92" t="s">
        <v>131</v>
      </c>
      <c r="C20" s="66" t="s">
        <v>508</v>
      </c>
      <c r="D20" s="69" t="n">
        <v>21</v>
      </c>
      <c r="E20" s="69" t="s">
        <v>506</v>
      </c>
      <c r="F20" s="70" t="n">
        <f aca="false">IF($E20="","",IFERROR(LOOKUP(VALUE(LEFT($E20&amp;"",FIND("-",$E20&amp;"-")-1)),$C$44:$C$49,$D$44:$D$49),""))</f>
        <v>0</v>
      </c>
      <c r="G20" s="71"/>
      <c r="H20" s="72" t="str">
        <f aca="false">IF($G20="","n/a",IF($F20=$G20,"ok","MISMATCH"))</f>
        <v>n/a</v>
      </c>
      <c r="I20" s="73" t="n">
        <v>52500</v>
      </c>
      <c r="J20" s="16" t="s">
        <v>509</v>
      </c>
      <c r="L20" s="38" t="s">
        <v>131</v>
      </c>
    </row>
    <row r="21" customFormat="false" ht="15" hidden="false" customHeight="true" outlineLevel="0" collapsed="false">
      <c r="B21" s="92" t="s">
        <v>157</v>
      </c>
      <c r="C21" s="66" t="s">
        <v>510</v>
      </c>
      <c r="D21" s="69" t="n">
        <v>5</v>
      </c>
      <c r="E21" s="69" t="s">
        <v>506</v>
      </c>
      <c r="F21" s="70" t="n">
        <f aca="false">IF($E21="","",IFERROR(LOOKUP(VALUE(LEFT($E21&amp;"",FIND("-",$E21&amp;"-")-1)),$C$44:$C$49,$D$44:$D$49),""))</f>
        <v>0</v>
      </c>
      <c r="G21" s="71" t="n">
        <v>0</v>
      </c>
      <c r="H21" s="72" t="str">
        <f aca="false">IF($G21="","n/a",IF($F21=$G21,"ok","MISMATCH"))</f>
        <v>ok</v>
      </c>
      <c r="I21" s="73" t="n">
        <v>52500</v>
      </c>
      <c r="J21" s="16" t="s">
        <v>496</v>
      </c>
      <c r="L21" s="38" t="s">
        <v>157</v>
      </c>
    </row>
    <row r="22" customFormat="false" ht="15" hidden="false" customHeight="true" outlineLevel="0" collapsed="false">
      <c r="B22" s="92" t="s">
        <v>511</v>
      </c>
      <c r="C22" s="66" t="s">
        <v>512</v>
      </c>
      <c r="D22" s="69" t="n">
        <v>22</v>
      </c>
      <c r="E22" s="69" t="s">
        <v>506</v>
      </c>
      <c r="F22" s="70" t="n">
        <f aca="false">IF($E22="","",IFERROR(LOOKUP(VALUE(LEFT($E22&amp;"",FIND("-",$E22&amp;"-")-1)),$C$44:$C$49,$D$44:$D$49),""))</f>
        <v>0</v>
      </c>
      <c r="G22" s="71" t="n">
        <v>0</v>
      </c>
      <c r="H22" s="72" t="str">
        <f aca="false">IF($G22="","n/a",IF($F22=$G22,"ok","MISMATCH"))</f>
        <v>ok</v>
      </c>
      <c r="I22" s="73" t="n">
        <v>52500</v>
      </c>
      <c r="J22" s="16" t="s">
        <v>496</v>
      </c>
      <c r="L22" s="38" t="s">
        <v>511</v>
      </c>
    </row>
    <row r="23" customFormat="false" ht="15" hidden="false" customHeight="true" outlineLevel="0" collapsed="false">
      <c r="B23" s="92" t="s">
        <v>145</v>
      </c>
      <c r="C23" s="66" t="s">
        <v>513</v>
      </c>
      <c r="D23" s="69" t="n">
        <v>6</v>
      </c>
      <c r="E23" s="69" t="s">
        <v>514</v>
      </c>
      <c r="F23" s="70" t="n">
        <f aca="false">IF($E23="","",IFERROR(LOOKUP(VALUE(LEFT($E23&amp;"",FIND("-",$E23&amp;"-")-1)),$C$44:$C$49,$D$44:$D$49),""))</f>
        <v>0</v>
      </c>
      <c r="G23" s="71" t="n">
        <v>0</v>
      </c>
      <c r="H23" s="72" t="str">
        <f aca="false">IF($G23="","n/a",IF($F23=$G23,"ok","MISMATCH"))</f>
        <v>ok</v>
      </c>
      <c r="I23" s="73" t="n">
        <v>40000</v>
      </c>
      <c r="J23" s="16" t="s">
        <v>515</v>
      </c>
      <c r="L23" s="38" t="s">
        <v>145</v>
      </c>
    </row>
    <row r="24" customFormat="false" ht="15" hidden="false" customHeight="true" outlineLevel="0" collapsed="false">
      <c r="B24" s="92" t="s">
        <v>516</v>
      </c>
      <c r="C24" s="66" t="s">
        <v>517</v>
      </c>
      <c r="D24" s="69" t="n">
        <v>20</v>
      </c>
      <c r="E24" s="69" t="s">
        <v>514</v>
      </c>
      <c r="F24" s="70" t="n">
        <f aca="false">IF($E24="","",IFERROR(LOOKUP(VALUE(LEFT($E24&amp;"",FIND("-",$E24&amp;"-")-1)),$C$44:$C$49,$D$44:$D$49),""))</f>
        <v>0</v>
      </c>
      <c r="G24" s="71"/>
      <c r="H24" s="72" t="str">
        <f aca="false">IF($G24="","n/a",IF($F24=$G24,"ok","MISMATCH"))</f>
        <v>n/a</v>
      </c>
      <c r="I24" s="73" t="n">
        <v>40000</v>
      </c>
      <c r="J24" s="16" t="s">
        <v>518</v>
      </c>
      <c r="L24" s="38" t="s">
        <v>516</v>
      </c>
    </row>
    <row r="25" customFormat="false" ht="15" hidden="false" customHeight="true" outlineLevel="0" collapsed="false">
      <c r="B25" s="92" t="s">
        <v>123</v>
      </c>
      <c r="C25" s="66" t="s">
        <v>519</v>
      </c>
      <c r="D25" s="69" t="n">
        <v>14</v>
      </c>
      <c r="E25" s="69" t="s">
        <v>514</v>
      </c>
      <c r="F25" s="70" t="n">
        <f aca="false">IF($E25="","",IFERROR(LOOKUP(VALUE(LEFT($E25&amp;"",FIND("-",$E25&amp;"-")-1)),$C$44:$C$49,$D$44:$D$49),""))</f>
        <v>0</v>
      </c>
      <c r="G25" s="71" t="n">
        <v>0</v>
      </c>
      <c r="H25" s="72" t="str">
        <f aca="false">IF($G25="","n/a",IF($F25=$G25,"ok","MISMATCH"))</f>
        <v>ok</v>
      </c>
      <c r="I25" s="73" t="n">
        <v>40000</v>
      </c>
      <c r="J25" s="16" t="s">
        <v>520</v>
      </c>
      <c r="L25" s="38" t="s">
        <v>123</v>
      </c>
    </row>
    <row r="26" customFormat="false" ht="15" hidden="false" customHeight="true" outlineLevel="0" collapsed="false">
      <c r="B26" s="92" t="s">
        <v>171</v>
      </c>
      <c r="C26" s="66" t="s">
        <v>521</v>
      </c>
      <c r="D26" s="69" t="n">
        <v>15</v>
      </c>
      <c r="E26" s="69" t="s">
        <v>514</v>
      </c>
      <c r="F26" s="70" t="n">
        <f aca="false">IF($E26="","",IFERROR(LOOKUP(VALUE(LEFT($E26&amp;"",FIND("-",$E26&amp;"-")-1)),$C$44:$C$49,$D$44:$D$49),""))</f>
        <v>0</v>
      </c>
      <c r="G26" s="71" t="n">
        <v>0</v>
      </c>
      <c r="H26" s="72" t="str">
        <f aca="false">IF($G26="","n/a",IF($F26=$G26,"ok","MISMATCH"))</f>
        <v>ok</v>
      </c>
      <c r="I26" s="73" t="n">
        <v>40000</v>
      </c>
      <c r="J26" s="16" t="s">
        <v>522</v>
      </c>
      <c r="L26" s="38" t="s">
        <v>171</v>
      </c>
    </row>
    <row r="27" customFormat="false" ht="15" hidden="false" customHeight="true" outlineLevel="0" collapsed="false">
      <c r="B27" s="92" t="s">
        <v>175</v>
      </c>
      <c r="C27" s="66" t="s">
        <v>523</v>
      </c>
      <c r="D27" s="69" t="n">
        <v>7</v>
      </c>
      <c r="E27" s="69" t="s">
        <v>524</v>
      </c>
      <c r="F27" s="70" t="n">
        <f aca="false">IF($E27="","",IFERROR(LOOKUP(VALUE(LEFT($E27&amp;"",FIND("-",$E27&amp;"-")-1)),$C$44:$C$49,$D$44:$D$49),""))</f>
        <v>0</v>
      </c>
      <c r="G27" s="71" t="n">
        <v>0</v>
      </c>
      <c r="H27" s="72" t="str">
        <f aca="false">IF($G27="","n/a",IF($F27=$G27,"ok","MISMATCH"))</f>
        <v>ok</v>
      </c>
      <c r="I27" s="73" t="n">
        <v>32000</v>
      </c>
      <c r="J27" s="16" t="s">
        <v>515</v>
      </c>
      <c r="L27" s="38" t="s">
        <v>175</v>
      </c>
    </row>
    <row r="28" customFormat="false" ht="15" hidden="false" customHeight="true" outlineLevel="0" collapsed="false">
      <c r="B28" s="92" t="s">
        <v>525</v>
      </c>
      <c r="C28" s="66" t="s">
        <v>526</v>
      </c>
      <c r="D28" s="69" t="n">
        <v>10</v>
      </c>
      <c r="E28" s="69" t="s">
        <v>527</v>
      </c>
      <c r="F28" s="70" t="n">
        <f aca="false">IF($E28="","",IFERROR(LOOKUP(VALUE(LEFT($E28&amp;"",FIND("-",$E28&amp;"-")-1)),$C$44:$C$49,$D$44:$D$49),""))</f>
        <v>0</v>
      </c>
      <c r="G28" s="71"/>
      <c r="H28" s="72" t="str">
        <f aca="false">IF($G28="","n/a",IF($F28=$G28,"ok","MISMATCH"))</f>
        <v>n/a</v>
      </c>
      <c r="I28" s="73" t="n">
        <v>27000</v>
      </c>
      <c r="J28" s="16" t="s">
        <v>515</v>
      </c>
      <c r="L28" s="38" t="s">
        <v>525</v>
      </c>
    </row>
    <row r="29" customFormat="false" ht="15" hidden="false" customHeight="true" outlineLevel="0" collapsed="false">
      <c r="B29" s="92" t="s">
        <v>525</v>
      </c>
      <c r="C29" s="66" t="s">
        <v>528</v>
      </c>
      <c r="D29" s="69" t="n">
        <v>18</v>
      </c>
      <c r="E29" s="69" t="s">
        <v>529</v>
      </c>
      <c r="F29" s="70" t="n">
        <f aca="false">IF($E29="","",IFERROR(LOOKUP(VALUE(LEFT($E29&amp;"",FIND("-",$E29&amp;"-")-1)),$C$44:$C$49,$D$44:$D$49),""))</f>
        <v>0</v>
      </c>
      <c r="G29" s="71"/>
      <c r="H29" s="72" t="str">
        <f aca="false">IF($G29="","n/a",IF($F29=$G29,"ok","MISMATCH"))</f>
        <v>n/a</v>
      </c>
      <c r="I29" s="73" t="n">
        <v>25000</v>
      </c>
      <c r="J29" s="16" t="s">
        <v>515</v>
      </c>
      <c r="L29" s="38" t="s">
        <v>525</v>
      </c>
    </row>
    <row r="30" customFormat="false" ht="15" hidden="false" customHeight="true" outlineLevel="0" collapsed="false">
      <c r="B30" s="92" t="s">
        <v>525</v>
      </c>
      <c r="C30" s="66" t="s">
        <v>530</v>
      </c>
      <c r="D30" s="69" t="n">
        <v>13</v>
      </c>
      <c r="E30" s="69" t="s">
        <v>529</v>
      </c>
      <c r="F30" s="70" t="n">
        <f aca="false">IF($E30="","",IFERROR(LOOKUP(VALUE(LEFT($E30&amp;"",FIND("-",$E30&amp;"-")-1)),$C$44:$C$49,$D$44:$D$49),""))</f>
        <v>0</v>
      </c>
      <c r="G30" s="71"/>
      <c r="H30" s="72" t="str">
        <f aca="false">IF($G30="","n/a",IF($F30=$G30,"ok","MISMATCH"))</f>
        <v>n/a</v>
      </c>
      <c r="I30" s="73" t="n">
        <v>25000</v>
      </c>
      <c r="J30" s="16" t="s">
        <v>515</v>
      </c>
      <c r="L30" s="38" t="s">
        <v>525</v>
      </c>
    </row>
    <row r="31" customFormat="false" ht="15" hidden="false" customHeight="true" outlineLevel="0" collapsed="false">
      <c r="B31" s="92" t="s">
        <v>131</v>
      </c>
      <c r="C31" s="66" t="s">
        <v>531</v>
      </c>
      <c r="D31" s="69" t="n">
        <v>19</v>
      </c>
      <c r="E31" s="69" t="s">
        <v>532</v>
      </c>
      <c r="F31" s="70" t="n">
        <f aca="false">IF($E31="","",IFERROR(LOOKUP(VALUE(LEFT($E31&amp;"",FIND("-",$E31&amp;"-")-1)),$C$44:$C$49,$D$44:$D$49),""))</f>
        <v>0</v>
      </c>
      <c r="G31" s="71"/>
      <c r="H31" s="72" t="str">
        <f aca="false">IF($G31="","n/a",IF($F31=$G31,"ok","MISMATCH"))</f>
        <v>n/a</v>
      </c>
      <c r="I31" s="73" t="n">
        <v>23000</v>
      </c>
      <c r="J31" s="16" t="s">
        <v>520</v>
      </c>
      <c r="L31" s="38" t="s">
        <v>131</v>
      </c>
    </row>
    <row r="32" customFormat="false" ht="15" hidden="false" customHeight="true" outlineLevel="0" collapsed="false">
      <c r="B32" s="92" t="s">
        <v>533</v>
      </c>
      <c r="C32" s="66" t="s">
        <v>534</v>
      </c>
      <c r="D32" s="69" t="n">
        <v>16</v>
      </c>
      <c r="E32" s="69" t="s">
        <v>532</v>
      </c>
      <c r="F32" s="70" t="n">
        <f aca="false">IF($E32="","",IFERROR(LOOKUP(VALUE(LEFT($E32&amp;"",FIND("-",$E32&amp;"-")-1)),$C$44:$C$49,$D$44:$D$49),""))</f>
        <v>0</v>
      </c>
      <c r="G32" s="71"/>
      <c r="H32" s="72" t="str">
        <f aca="false">IF($G32="","n/a",IF($F32=$G32,"ok","MISMATCH"))</f>
        <v>n/a</v>
      </c>
      <c r="I32" s="73" t="n">
        <v>23000</v>
      </c>
      <c r="J32" s="16" t="s">
        <v>520</v>
      </c>
      <c r="L32" s="38" t="s">
        <v>533</v>
      </c>
    </row>
    <row r="34" customFormat="false" ht="15" hidden="false" customHeight="true" outlineLevel="0" collapsed="false">
      <c r="B34" s="11" t="s">
        <v>459</v>
      </c>
      <c r="F34" s="77" t="n">
        <f aca="false">SUM(F11:F32)</f>
        <v>3350</v>
      </c>
    </row>
    <row r="35" customFormat="false" ht="15" hidden="false" customHeight="true" outlineLevel="0" collapsed="false">
      <c r="B35" s="93" t="s">
        <v>535</v>
      </c>
    </row>
    <row r="41" customFormat="false" ht="15" hidden="false" customHeight="true" outlineLevel="0" collapsed="false">
      <c r="B41" s="11" t="s">
        <v>461</v>
      </c>
    </row>
    <row r="42" customFormat="false" ht="15" hidden="false" customHeight="true" outlineLevel="0" collapsed="false">
      <c r="B42" s="78" t="s">
        <v>536</v>
      </c>
    </row>
    <row r="43" customFormat="false" ht="15" hidden="false" customHeight="true" outlineLevel="0" collapsed="false">
      <c r="B43" s="4" t="s">
        <v>463</v>
      </c>
      <c r="C43" s="4" t="s">
        <v>464</v>
      </c>
      <c r="D43" s="4" t="s">
        <v>465</v>
      </c>
    </row>
    <row r="44" customFormat="false" ht="15" hidden="false" customHeight="true" outlineLevel="0" collapsed="false">
      <c r="C44" s="13" t="n">
        <v>1</v>
      </c>
      <c r="D44" s="79" t="n">
        <v>1000</v>
      </c>
      <c r="E44" s="80" t="s">
        <v>466</v>
      </c>
    </row>
    <row r="45" customFormat="false" ht="15" hidden="false" customHeight="true" outlineLevel="0" collapsed="false">
      <c r="C45" s="13" t="n">
        <v>2</v>
      </c>
      <c r="D45" s="79" t="n">
        <v>750</v>
      </c>
      <c r="E45" s="80" t="s">
        <v>467</v>
      </c>
    </row>
    <row r="46" customFormat="false" ht="15" hidden="false" customHeight="true" outlineLevel="0" collapsed="false">
      <c r="C46" s="13" t="n">
        <v>3</v>
      </c>
      <c r="D46" s="79" t="n">
        <v>500</v>
      </c>
      <c r="E46" s="80" t="s">
        <v>468</v>
      </c>
    </row>
    <row r="47" customFormat="false" ht="15" hidden="false" customHeight="true" outlineLevel="0" collapsed="false">
      <c r="C47" s="13" t="n">
        <v>4</v>
      </c>
      <c r="D47" s="79" t="n">
        <v>300</v>
      </c>
      <c r="E47" s="80" t="s">
        <v>469</v>
      </c>
    </row>
    <row r="48" customFormat="false" ht="15" hidden="false" customHeight="true" outlineLevel="0" collapsed="false">
      <c r="C48" s="13" t="n">
        <v>5</v>
      </c>
      <c r="D48" s="79" t="n">
        <v>200</v>
      </c>
      <c r="E48" s="80" t="s">
        <v>537</v>
      </c>
    </row>
    <row r="49" customFormat="false" ht="15" hidden="false" customHeight="true" outlineLevel="0" collapsed="false">
      <c r="C49" s="13" t="n">
        <v>9</v>
      </c>
      <c r="D49" s="79" t="n">
        <v>0</v>
      </c>
      <c r="E49" s="80" t="s">
        <v>538</v>
      </c>
    </row>
    <row r="52" customFormat="false" ht="15" hidden="false" customHeight="true" outlineLevel="0" collapsed="false">
      <c r="B52" s="11" t="s">
        <v>539</v>
      </c>
    </row>
    <row r="53" customFormat="false" ht="15" hidden="false" customHeight="true" outlineLevel="0" collapsed="false">
      <c r="B53" s="18" t="s">
        <v>540</v>
      </c>
    </row>
    <row r="54" customFormat="false" ht="15" hidden="false" customHeight="true" outlineLevel="0" collapsed="false">
      <c r="B54" s="4" t="s">
        <v>541</v>
      </c>
      <c r="C54" s="4" t="s">
        <v>488</v>
      </c>
      <c r="D54" s="4" t="s">
        <v>542</v>
      </c>
      <c r="E54" s="4" t="s">
        <v>543</v>
      </c>
      <c r="F54" s="4" t="s">
        <v>421</v>
      </c>
      <c r="G54" s="4" t="s">
        <v>544</v>
      </c>
    </row>
    <row r="55" customFormat="false" ht="15" hidden="false" customHeight="true" outlineLevel="0" collapsed="false">
      <c r="B55" s="13" t="n">
        <v>1</v>
      </c>
      <c r="C55" s="81" t="s">
        <v>491</v>
      </c>
      <c r="D55" s="13" t="n">
        <v>2803</v>
      </c>
      <c r="E55" s="13" t="n">
        <v>1</v>
      </c>
      <c r="F55" s="13" t="s">
        <v>427</v>
      </c>
      <c r="G55" s="94" t="n">
        <v>0</v>
      </c>
    </row>
    <row r="56" customFormat="false" ht="15" hidden="false" customHeight="true" outlineLevel="0" collapsed="false">
      <c r="B56" s="13" t="n">
        <v>2</v>
      </c>
      <c r="C56" s="81" t="s">
        <v>497</v>
      </c>
      <c r="D56" s="13" t="n">
        <v>2749</v>
      </c>
      <c r="E56" s="13" t="n">
        <v>3</v>
      </c>
      <c r="F56" s="13" t="s">
        <v>431</v>
      </c>
      <c r="G56" s="95" t="n">
        <v>-2</v>
      </c>
    </row>
    <row r="57" customFormat="false" ht="15" hidden="false" customHeight="true" outlineLevel="0" collapsed="false">
      <c r="B57" s="13" t="n">
        <v>3</v>
      </c>
      <c r="C57" s="81" t="s">
        <v>503</v>
      </c>
      <c r="D57" s="13" t="n">
        <v>2745</v>
      </c>
      <c r="E57" s="13" t="n">
        <v>4</v>
      </c>
      <c r="F57" s="13" t="s">
        <v>432</v>
      </c>
      <c r="G57" s="95" t="n">
        <v>-2</v>
      </c>
    </row>
    <row r="58" customFormat="false" ht="15" hidden="false" customHeight="true" outlineLevel="0" collapsed="false">
      <c r="B58" s="13" t="n">
        <v>4</v>
      </c>
      <c r="C58" s="81" t="s">
        <v>495</v>
      </c>
      <c r="D58" s="13" t="n">
        <v>2738</v>
      </c>
      <c r="E58" s="13" t="n">
        <v>5</v>
      </c>
      <c r="F58" s="13" t="s">
        <v>430</v>
      </c>
      <c r="G58" s="96" t="n">
        <v>1</v>
      </c>
    </row>
    <row r="59" customFormat="false" ht="15" hidden="false" customHeight="true" outlineLevel="0" collapsed="false">
      <c r="B59" s="13" t="n">
        <v>5</v>
      </c>
      <c r="C59" s="81" t="s">
        <v>510</v>
      </c>
      <c r="D59" s="13" t="n">
        <v>2729</v>
      </c>
      <c r="E59" s="13" t="n">
        <v>7</v>
      </c>
      <c r="F59" s="13" t="s">
        <v>506</v>
      </c>
      <c r="G59" s="95" t="n">
        <v>-4</v>
      </c>
    </row>
    <row r="60" customFormat="false" ht="15" hidden="false" customHeight="true" outlineLevel="0" collapsed="false">
      <c r="B60" s="13" t="n">
        <v>6</v>
      </c>
      <c r="C60" s="81" t="s">
        <v>513</v>
      </c>
      <c r="D60" s="13" t="n">
        <v>2726</v>
      </c>
      <c r="E60" s="13" t="n">
        <v>8</v>
      </c>
      <c r="F60" s="13" t="s">
        <v>514</v>
      </c>
      <c r="G60" s="95" t="n">
        <v>-7</v>
      </c>
    </row>
    <row r="61" customFormat="false" ht="15" hidden="false" customHeight="true" outlineLevel="0" collapsed="false">
      <c r="B61" s="13" t="n">
        <v>7</v>
      </c>
      <c r="C61" s="81" t="s">
        <v>523</v>
      </c>
      <c r="D61" s="13" t="n">
        <v>2709</v>
      </c>
      <c r="E61" s="13" t="n">
        <v>10</v>
      </c>
      <c r="F61" s="13" t="s">
        <v>524</v>
      </c>
      <c r="G61" s="95" t="n">
        <v>-10</v>
      </c>
    </row>
    <row r="62" customFormat="false" ht="15" hidden="false" customHeight="true" outlineLevel="0" collapsed="false">
      <c r="B62" s="13" t="n">
        <v>8</v>
      </c>
      <c r="C62" s="81" t="s">
        <v>502</v>
      </c>
      <c r="D62" s="13" t="n">
        <v>2706</v>
      </c>
      <c r="E62" s="13" t="n">
        <v>11</v>
      </c>
      <c r="F62" s="13" t="s">
        <v>432</v>
      </c>
      <c r="G62" s="96" t="n">
        <v>3</v>
      </c>
    </row>
    <row r="63" customFormat="false" ht="15" hidden="false" customHeight="true" outlineLevel="0" collapsed="false">
      <c r="B63" s="13" t="n">
        <v>9</v>
      </c>
      <c r="C63" s="81" t="s">
        <v>499</v>
      </c>
      <c r="D63" s="13" t="n">
        <v>2698</v>
      </c>
      <c r="E63" s="13" t="n">
        <v>18</v>
      </c>
      <c r="F63" s="13" t="s">
        <v>432</v>
      </c>
      <c r="G63" s="96" t="n">
        <v>4</v>
      </c>
    </row>
    <row r="64" customFormat="false" ht="15" hidden="false" customHeight="true" outlineLevel="0" collapsed="false">
      <c r="B64" s="13" t="n">
        <v>10</v>
      </c>
      <c r="C64" s="81" t="s">
        <v>526</v>
      </c>
      <c r="D64" s="13" t="n">
        <v>2689</v>
      </c>
      <c r="E64" s="13" t="n">
        <v>21</v>
      </c>
      <c r="F64" s="13" t="s">
        <v>527</v>
      </c>
      <c r="G64" s="95" t="n">
        <v>-8</v>
      </c>
    </row>
    <row r="65" customFormat="false" ht="15" hidden="false" customHeight="true" outlineLevel="0" collapsed="false">
      <c r="B65" s="13" t="n">
        <v>11</v>
      </c>
      <c r="C65" s="81" t="s">
        <v>505</v>
      </c>
      <c r="D65" s="13" t="n">
        <v>2685</v>
      </c>
      <c r="E65" s="13" t="n">
        <v>25</v>
      </c>
      <c r="F65" s="13" t="s">
        <v>506</v>
      </c>
      <c r="G65" s="96" t="n">
        <v>2</v>
      </c>
    </row>
    <row r="66" customFormat="false" ht="15" hidden="false" customHeight="true" outlineLevel="0" collapsed="false">
      <c r="B66" s="13" t="n">
        <v>12</v>
      </c>
      <c r="C66" s="81" t="s">
        <v>501</v>
      </c>
      <c r="D66" s="13" t="n">
        <v>2675</v>
      </c>
      <c r="E66" s="13" t="n">
        <v>28</v>
      </c>
      <c r="F66" s="13" t="s">
        <v>432</v>
      </c>
      <c r="G66" s="96" t="n">
        <v>7</v>
      </c>
    </row>
    <row r="67" customFormat="false" ht="15" hidden="false" customHeight="true" outlineLevel="0" collapsed="false">
      <c r="B67" s="13" t="n">
        <v>13</v>
      </c>
      <c r="C67" s="81" t="s">
        <v>530</v>
      </c>
      <c r="D67" s="13" t="n">
        <v>2671</v>
      </c>
      <c r="E67" s="13" t="n">
        <v>29</v>
      </c>
      <c r="F67" s="13" t="s">
        <v>529</v>
      </c>
      <c r="G67" s="95" t="n">
        <v>-6</v>
      </c>
    </row>
    <row r="68" customFormat="false" ht="15" hidden="false" customHeight="true" outlineLevel="0" collapsed="false">
      <c r="B68" s="13" t="n">
        <v>14</v>
      </c>
      <c r="C68" s="81" t="s">
        <v>519</v>
      </c>
      <c r="D68" s="13" t="n">
        <v>2658</v>
      </c>
      <c r="E68" s="13" t="n">
        <v>34</v>
      </c>
      <c r="F68" s="13" t="s">
        <v>514</v>
      </c>
      <c r="G68" s="96" t="n">
        <v>1</v>
      </c>
    </row>
    <row r="69" customFormat="false" ht="15" hidden="false" customHeight="true" outlineLevel="0" collapsed="false">
      <c r="B69" s="13" t="n">
        <v>15</v>
      </c>
      <c r="C69" s="81" t="s">
        <v>521</v>
      </c>
      <c r="D69" s="13" t="n">
        <v>2650</v>
      </c>
      <c r="E69" s="13" t="n">
        <v>37</v>
      </c>
      <c r="F69" s="13" t="s">
        <v>514</v>
      </c>
      <c r="G69" s="96" t="n">
        <v>2</v>
      </c>
    </row>
    <row r="70" customFormat="false" ht="15" hidden="false" customHeight="true" outlineLevel="0" collapsed="false">
      <c r="B70" s="13" t="n">
        <v>16</v>
      </c>
      <c r="C70" s="81" t="s">
        <v>534</v>
      </c>
      <c r="D70" s="13" t="n">
        <v>2626</v>
      </c>
      <c r="E70" s="13" t="n">
        <v>55</v>
      </c>
      <c r="F70" s="13" t="s">
        <v>532</v>
      </c>
      <c r="G70" s="95" t="n">
        <v>-5</v>
      </c>
    </row>
    <row r="71" customFormat="false" ht="15" hidden="false" customHeight="true" outlineLevel="0" collapsed="false">
      <c r="B71" s="13" t="n">
        <v>17</v>
      </c>
      <c r="C71" s="81" t="s">
        <v>493</v>
      </c>
      <c r="D71" s="13" t="n">
        <v>2624</v>
      </c>
      <c r="E71" s="13" t="n">
        <v>60</v>
      </c>
      <c r="F71" s="13" t="s">
        <v>428</v>
      </c>
      <c r="G71" s="96" t="n">
        <v>15</v>
      </c>
    </row>
    <row r="72" customFormat="false" ht="15" hidden="false" customHeight="true" outlineLevel="0" collapsed="false">
      <c r="B72" s="13" t="n">
        <v>18</v>
      </c>
      <c r="C72" s="81" t="s">
        <v>528</v>
      </c>
      <c r="D72" s="13" t="n">
        <v>2607</v>
      </c>
      <c r="E72" s="13" t="n">
        <v>97</v>
      </c>
      <c r="F72" s="13" t="s">
        <v>529</v>
      </c>
      <c r="G72" s="95" t="n">
        <v>-1</v>
      </c>
    </row>
    <row r="73" customFormat="false" ht="15" hidden="false" customHeight="true" outlineLevel="0" collapsed="false">
      <c r="B73" s="13" t="n">
        <v>19</v>
      </c>
      <c r="C73" s="81" t="s">
        <v>531</v>
      </c>
      <c r="D73" s="13" t="n">
        <v>2604</v>
      </c>
      <c r="E73" s="97" t="s">
        <v>93</v>
      </c>
      <c r="F73" s="13" t="s">
        <v>532</v>
      </c>
      <c r="G73" s="95" t="n">
        <v>-2</v>
      </c>
    </row>
    <row r="74" customFormat="false" ht="15" hidden="false" customHeight="true" outlineLevel="0" collapsed="false">
      <c r="B74" s="13" t="n">
        <v>20</v>
      </c>
      <c r="C74" s="81" t="s">
        <v>517</v>
      </c>
      <c r="D74" s="13" t="n">
        <v>2563</v>
      </c>
      <c r="E74" s="97" t="s">
        <v>93</v>
      </c>
      <c r="F74" s="13" t="s">
        <v>514</v>
      </c>
      <c r="G74" s="96" t="n">
        <v>7</v>
      </c>
    </row>
    <row r="75" customFormat="false" ht="15" hidden="false" customHeight="true" outlineLevel="0" collapsed="false">
      <c r="B75" s="13" t="n">
        <v>21</v>
      </c>
      <c r="C75" s="81" t="s">
        <v>508</v>
      </c>
      <c r="D75" s="13" t="n">
        <v>2534</v>
      </c>
      <c r="E75" s="97" t="s">
        <v>93</v>
      </c>
      <c r="F75" s="13" t="s">
        <v>506</v>
      </c>
      <c r="G75" s="96" t="n">
        <v>12</v>
      </c>
    </row>
    <row r="76" customFormat="false" ht="15" hidden="false" customHeight="true" outlineLevel="0" collapsed="false">
      <c r="B76" s="13" t="n">
        <v>22</v>
      </c>
      <c r="C76" s="81" t="s">
        <v>512</v>
      </c>
      <c r="D76" s="13" t="n">
        <v>2446</v>
      </c>
      <c r="E76" s="97" t="s">
        <v>93</v>
      </c>
      <c r="F76" s="13" t="s">
        <v>506</v>
      </c>
      <c r="G76" s="96" t="n">
        <v>13</v>
      </c>
    </row>
    <row r="78" customFormat="false" ht="15" hidden="false" customHeight="true" outlineLevel="0" collapsed="false">
      <c r="B78" s="18" t="s">
        <v>545</v>
      </c>
    </row>
  </sheetData>
  <sheetProtection sheet="true" formatCells="false" selectLockedCells="true" selectUnlockedCells="true"/>
  <dataValidations count="1">
    <dataValidation allowBlank="true" error="Pick a placement from the list — free text breaks the points lookup." errorStyle="stop" errorTitle="Use the dropdown" operator="between" showDropDown="false" showErrorMessage="false" showInputMessage="false" sqref="E11:E32" type="list">
      <formula1>"1,2,3,4,5-8,9-12,13-16,17,18,19-20,21-22"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13"/>
    <col collapsed="false" customWidth="true" hidden="false" outlineLevel="0" max="4" min="4" style="1" width="11"/>
    <col collapsed="false" customWidth="true" hidden="false" outlineLevel="0" max="6" min="5" style="1" width="12"/>
    <col collapsed="false" customWidth="true" hidden="false" outlineLevel="0" max="7" min="7" style="1" width="15"/>
    <col collapsed="false" customWidth="true" hidden="false" outlineLevel="0" max="8" min="8" style="1" width="10"/>
    <col collapsed="false" customWidth="true" hidden="false" outlineLevel="0" max="9" min="9" style="1" width="12"/>
    <col collapsed="false" customWidth="true" hidden="false" outlineLevel="0" max="10" min="10" style="1" width="30"/>
  </cols>
  <sheetData>
    <row r="2" customFormat="false" ht="18" hidden="false" customHeight="true" outlineLevel="0" collapsed="false">
      <c r="B2" s="2" t="s">
        <v>546</v>
      </c>
    </row>
    <row r="3" customFormat="false" ht="15" hidden="false" customHeight="true" outlineLevel="0" collapsed="false">
      <c r="B3" s="93" t="s">
        <v>547</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548</v>
      </c>
      <c r="D6" s="28" t="s">
        <v>549</v>
      </c>
      <c r="F6" s="28" t="s">
        <v>550</v>
      </c>
      <c r="H6" s="28" t="s">
        <v>551</v>
      </c>
      <c r="J6" s="28" t="s">
        <v>552</v>
      </c>
      <c r="L6" s="28" t="s">
        <v>553</v>
      </c>
    </row>
    <row r="8" customFormat="false" ht="15" hidden="false" customHeight="true" outlineLevel="0" collapsed="false">
      <c r="B8" s="11" t="s">
        <v>416</v>
      </c>
    </row>
    <row r="9" customFormat="false" ht="15" hidden="false" customHeight="true" outlineLevel="0" collapsed="false">
      <c r="B9" s="18" t="s">
        <v>554</v>
      </c>
    </row>
    <row r="10" customFormat="false" ht="34.5" hidden="false" customHeight="true" outlineLevel="0" collapsed="false">
      <c r="B10" s="4" t="s">
        <v>418</v>
      </c>
      <c r="C10" s="4" t="s">
        <v>555</v>
      </c>
      <c r="D10" s="4" t="s">
        <v>556</v>
      </c>
      <c r="E10" s="4" t="s">
        <v>421</v>
      </c>
      <c r="F10" s="4" t="s">
        <v>422</v>
      </c>
      <c r="G10" s="4" t="s">
        <v>423</v>
      </c>
      <c r="H10" s="4" t="s">
        <v>424</v>
      </c>
      <c r="I10" s="4" t="s">
        <v>425</v>
      </c>
      <c r="J10" s="4" t="s">
        <v>41</v>
      </c>
      <c r="L10" s="4" t="s">
        <v>426</v>
      </c>
    </row>
    <row r="11" customFormat="false" ht="15" hidden="false" customHeight="true" outlineLevel="0" collapsed="false">
      <c r="B11" s="29" t="s">
        <v>241</v>
      </c>
      <c r="C11" s="98" t="s">
        <v>557</v>
      </c>
      <c r="D11" s="99" t="s">
        <v>558</v>
      </c>
      <c r="E11" s="32" t="s">
        <v>427</v>
      </c>
      <c r="F11" s="33" t="n">
        <f aca="false">IF($E11="","",IFERROR(LOOKUP(VALUE(LEFT($E11&amp;"",FIND("-",$E11&amp;"-")-1)),$C$34:$C$39,$D$34:$D$39),""))</f>
        <v>1000</v>
      </c>
      <c r="G11" s="34"/>
      <c r="H11" s="35" t="str">
        <f aca="false">IF($G11="","n/a",IF($F11=$G11,"ok","MISMATCH"))</f>
        <v>n/a</v>
      </c>
      <c r="I11" s="36" t="n">
        <v>600000</v>
      </c>
      <c r="J11" s="100"/>
      <c r="L11" s="38" t="s">
        <v>241</v>
      </c>
    </row>
    <row r="12" customFormat="false" ht="15" hidden="false" customHeight="true" outlineLevel="0" collapsed="false">
      <c r="B12" s="39" t="s">
        <v>326</v>
      </c>
      <c r="C12" s="101" t="s">
        <v>559</v>
      </c>
      <c r="D12" s="102" t="s">
        <v>560</v>
      </c>
      <c r="E12" s="42" t="s">
        <v>428</v>
      </c>
      <c r="F12" s="43" t="n">
        <f aca="false">IF($E12="","",IFERROR(LOOKUP(VALUE(LEFT($E12&amp;"",FIND("-",$E12&amp;"-")-1)),$C$34:$C$39,$D$34:$D$39),""))</f>
        <v>750</v>
      </c>
      <c r="G12" s="44" t="n">
        <v>750</v>
      </c>
      <c r="H12" s="45" t="str">
        <f aca="false">IF($G12="","n/a",IF($F12=$G12,"ok","MISMATCH"))</f>
        <v>ok</v>
      </c>
      <c r="I12" s="46" t="n">
        <v>340000</v>
      </c>
      <c r="J12" s="103"/>
      <c r="L12" s="38" t="s">
        <v>326</v>
      </c>
    </row>
    <row r="13" customFormat="false" ht="15" hidden="false" customHeight="true" outlineLevel="0" collapsed="false">
      <c r="B13" s="48" t="s">
        <v>161</v>
      </c>
      <c r="C13" s="104" t="s">
        <v>557</v>
      </c>
      <c r="D13" s="99" t="s">
        <v>558</v>
      </c>
      <c r="E13" s="51" t="s">
        <v>430</v>
      </c>
      <c r="F13" s="52" t="n">
        <f aca="false">IF($E13="","",IFERROR(LOOKUP(VALUE(LEFT($E13&amp;"",FIND("-",$E13&amp;"-")-1)),$C$34:$C$39,$D$34:$D$39),""))</f>
        <v>500</v>
      </c>
      <c r="G13" s="53" t="n">
        <v>500</v>
      </c>
      <c r="H13" s="54" t="str">
        <f aca="false">IF($G13="","n/a",IF($F13=$G13,"ok","MISMATCH"))</f>
        <v>ok</v>
      </c>
      <c r="I13" s="55" t="n">
        <v>220000</v>
      </c>
      <c r="J13" s="105"/>
      <c r="L13" s="38" t="s">
        <v>161</v>
      </c>
    </row>
    <row r="14" customFormat="false" ht="15" hidden="false" customHeight="true" outlineLevel="0" collapsed="false">
      <c r="B14" s="57" t="s">
        <v>173</v>
      </c>
      <c r="C14" s="106" t="s">
        <v>557</v>
      </c>
      <c r="D14" s="99" t="s">
        <v>558</v>
      </c>
      <c r="E14" s="60" t="s">
        <v>431</v>
      </c>
      <c r="F14" s="61" t="n">
        <f aca="false">IF($E14="","",IFERROR(LOOKUP(VALUE(LEFT($E14&amp;"",FIND("-",$E14&amp;"-")-1)),$C$34:$C$39,$D$34:$D$39),""))</f>
        <v>300</v>
      </c>
      <c r="G14" s="62" t="n">
        <v>300</v>
      </c>
      <c r="H14" s="63" t="str">
        <f aca="false">IF($G14="","n/a",IF($F14=$G14,"ok","MISMATCH"))</f>
        <v>ok</v>
      </c>
      <c r="I14" s="64" t="n">
        <v>140000</v>
      </c>
      <c r="J14" s="107"/>
      <c r="L14" s="38" t="s">
        <v>173</v>
      </c>
    </row>
    <row r="15" customFormat="false" ht="15" hidden="false" customHeight="true" outlineLevel="0" collapsed="false">
      <c r="B15" s="57" t="s">
        <v>561</v>
      </c>
      <c r="C15" s="106" t="s">
        <v>557</v>
      </c>
      <c r="D15" s="99" t="s">
        <v>558</v>
      </c>
      <c r="E15" s="60" t="s">
        <v>432</v>
      </c>
      <c r="F15" s="61" t="n">
        <f aca="false">IF($E15="","",IFERROR(LOOKUP(VALUE(LEFT($E15&amp;"",FIND("-",$E15&amp;"-")-1)),$C$34:$C$39,$D$34:$D$39),""))</f>
        <v>200</v>
      </c>
      <c r="G15" s="62" t="n">
        <v>200</v>
      </c>
      <c r="H15" s="63" t="str">
        <f aca="false">IF($G15="","n/a",IF($F15=$G15,"ok","MISMATCH"))</f>
        <v>ok</v>
      </c>
      <c r="I15" s="64" t="n">
        <v>90000</v>
      </c>
      <c r="J15" s="107"/>
      <c r="L15" s="38" t="s">
        <v>561</v>
      </c>
    </row>
    <row r="16" customFormat="false" ht="15" hidden="false" customHeight="true" outlineLevel="0" collapsed="false">
      <c r="B16" s="57" t="s">
        <v>127</v>
      </c>
      <c r="C16" s="106" t="s">
        <v>562</v>
      </c>
      <c r="D16" s="99" t="s">
        <v>558</v>
      </c>
      <c r="E16" s="60" t="s">
        <v>432</v>
      </c>
      <c r="F16" s="61" t="n">
        <f aca="false">IF($E16="","",IFERROR(LOOKUP(VALUE(LEFT($E16&amp;"",FIND("-",$E16&amp;"-")-1)),$C$34:$C$39,$D$34:$D$39),""))</f>
        <v>200</v>
      </c>
      <c r="G16" s="62" t="n">
        <v>200</v>
      </c>
      <c r="H16" s="63" t="str">
        <f aca="false">IF($G16="","n/a",IF($F16=$G16,"ok","MISMATCH"))</f>
        <v>ok</v>
      </c>
      <c r="I16" s="64" t="n">
        <v>90000</v>
      </c>
      <c r="J16" s="107"/>
      <c r="L16" s="38" t="s">
        <v>127</v>
      </c>
    </row>
    <row r="17" customFormat="false" ht="15" hidden="false" customHeight="true" outlineLevel="0" collapsed="false">
      <c r="B17" s="57" t="s">
        <v>189</v>
      </c>
      <c r="C17" s="106" t="s">
        <v>562</v>
      </c>
      <c r="D17" s="99" t="s">
        <v>558</v>
      </c>
      <c r="E17" s="60" t="s">
        <v>432</v>
      </c>
      <c r="F17" s="61" t="n">
        <f aca="false">IF($E17="","",IFERROR(LOOKUP(VALUE(LEFT($E17&amp;"",FIND("-",$E17&amp;"-")-1)),$C$34:$C$39,$D$34:$D$39),""))</f>
        <v>200</v>
      </c>
      <c r="G17" s="62" t="n">
        <v>200</v>
      </c>
      <c r="H17" s="63" t="str">
        <f aca="false">IF($G17="","n/a",IF($F17=$G17,"ok","MISMATCH"))</f>
        <v>ok</v>
      </c>
      <c r="I17" s="64" t="n">
        <v>90000</v>
      </c>
      <c r="J17" s="107"/>
      <c r="L17" s="38" t="s">
        <v>189</v>
      </c>
    </row>
    <row r="18" customFormat="false" ht="15" hidden="false" customHeight="true" outlineLevel="0" collapsed="false">
      <c r="B18" s="57" t="s">
        <v>348</v>
      </c>
      <c r="C18" s="106" t="s">
        <v>562</v>
      </c>
      <c r="D18" s="99" t="s">
        <v>558</v>
      </c>
      <c r="E18" s="60" t="s">
        <v>432</v>
      </c>
      <c r="F18" s="61" t="n">
        <f aca="false">IF($E18="","",IFERROR(LOOKUP(VALUE(LEFT($E18&amp;"",FIND("-",$E18&amp;"-")-1)),$C$34:$C$39,$D$34:$D$39),""))</f>
        <v>200</v>
      </c>
      <c r="G18" s="62" t="n">
        <v>200</v>
      </c>
      <c r="H18" s="63" t="str">
        <f aca="false">IF($G18="","n/a",IF($F18=$G18,"ok","MISMATCH"))</f>
        <v>ok</v>
      </c>
      <c r="I18" s="64" t="n">
        <v>90000</v>
      </c>
      <c r="J18" s="107"/>
      <c r="L18" s="38" t="s">
        <v>348</v>
      </c>
    </row>
    <row r="19" customFormat="false" ht="15" hidden="false" customHeight="true" outlineLevel="0" collapsed="false">
      <c r="B19" s="66" t="s">
        <v>215</v>
      </c>
      <c r="C19" s="14" t="s">
        <v>559</v>
      </c>
      <c r="D19" s="102" t="s">
        <v>560</v>
      </c>
      <c r="E19" s="69" t="s">
        <v>506</v>
      </c>
      <c r="F19" s="70" t="n">
        <f aca="false">IF($E19="","",IFERROR(LOOKUP(VALUE(LEFT($E19&amp;"",FIND("-",$E19&amp;"-")-1)),$C$34:$C$39,$D$34:$D$39),""))</f>
        <v>0</v>
      </c>
      <c r="G19" s="71" t="n">
        <v>0</v>
      </c>
      <c r="H19" s="72" t="str">
        <f aca="false">IF($G19="","n/a",IF($F19=$G19,"ok","MISMATCH"))</f>
        <v>ok</v>
      </c>
      <c r="I19" s="73" t="n">
        <v>55000</v>
      </c>
      <c r="J19" s="108"/>
      <c r="L19" s="38" t="s">
        <v>215</v>
      </c>
    </row>
    <row r="20" customFormat="false" ht="15" hidden="false" customHeight="true" outlineLevel="0" collapsed="false">
      <c r="B20" s="66" t="s">
        <v>263</v>
      </c>
      <c r="C20" s="14" t="s">
        <v>563</v>
      </c>
      <c r="D20" s="102" t="s">
        <v>560</v>
      </c>
      <c r="E20" s="69" t="s">
        <v>506</v>
      </c>
      <c r="F20" s="70" t="n">
        <f aca="false">IF($E20="","",IFERROR(LOOKUP(VALUE(LEFT($E20&amp;"",FIND("-",$E20&amp;"-")-1)),$C$34:$C$39,$D$34:$D$39),""))</f>
        <v>0</v>
      </c>
      <c r="G20" s="71" t="n">
        <v>0</v>
      </c>
      <c r="H20" s="72" t="str">
        <f aca="false">IF($G20="","n/a",IF($F20=$G20,"ok","MISMATCH"))</f>
        <v>ok</v>
      </c>
      <c r="I20" s="73" t="n">
        <v>55000</v>
      </c>
      <c r="J20" s="108"/>
      <c r="L20" s="38" t="s">
        <v>263</v>
      </c>
    </row>
    <row r="21" customFormat="false" ht="15" hidden="false" customHeight="true" outlineLevel="0" collapsed="false">
      <c r="B21" s="66" t="s">
        <v>247</v>
      </c>
      <c r="C21" s="14" t="s">
        <v>564</v>
      </c>
      <c r="D21" s="109" t="s">
        <v>565</v>
      </c>
      <c r="E21" s="69" t="s">
        <v>506</v>
      </c>
      <c r="F21" s="70" t="n">
        <f aca="false">IF($E21="","",IFERROR(LOOKUP(VALUE(LEFT($E21&amp;"",FIND("-",$E21&amp;"-")-1)),$C$34:$C$39,$D$34:$D$39),""))</f>
        <v>0</v>
      </c>
      <c r="G21" s="71" t="n">
        <v>0</v>
      </c>
      <c r="H21" s="72" t="str">
        <f aca="false">IF($G21="","n/a",IF($F21=$G21,"ok","MISMATCH"))</f>
        <v>ok</v>
      </c>
      <c r="I21" s="73" t="n">
        <v>55000</v>
      </c>
      <c r="J21" s="108"/>
      <c r="L21" s="38" t="s">
        <v>247</v>
      </c>
    </row>
    <row r="22" customFormat="false" ht="15" hidden="false" customHeight="true" outlineLevel="0" collapsed="false">
      <c r="B22" s="66" t="s">
        <v>202</v>
      </c>
      <c r="C22" s="14" t="s">
        <v>566</v>
      </c>
      <c r="D22" s="109" t="s">
        <v>565</v>
      </c>
      <c r="E22" s="69" t="s">
        <v>506</v>
      </c>
      <c r="F22" s="70" t="n">
        <f aca="false">IF($E22="","",IFERROR(LOOKUP(VALUE(LEFT($E22&amp;"",FIND("-",$E22&amp;"-")-1)),$C$34:$C$39,$D$34:$D$39),""))</f>
        <v>0</v>
      </c>
      <c r="G22" s="71" t="n">
        <v>0</v>
      </c>
      <c r="H22" s="72" t="str">
        <f aca="false">IF($G22="","n/a",IF($F22=$G22,"ok","MISMATCH"))</f>
        <v>ok</v>
      </c>
      <c r="I22" s="73" t="n">
        <v>55000</v>
      </c>
      <c r="J22" s="108"/>
      <c r="L22" s="38" t="s">
        <v>202</v>
      </c>
    </row>
    <row r="23" customFormat="false" ht="15" hidden="false" customHeight="true" outlineLevel="0" collapsed="false">
      <c r="B23" s="66" t="s">
        <v>181</v>
      </c>
      <c r="C23" s="14" t="s">
        <v>566</v>
      </c>
      <c r="D23" s="109" t="s">
        <v>565</v>
      </c>
      <c r="E23" s="69" t="s">
        <v>514</v>
      </c>
      <c r="F23" s="70" t="n">
        <f aca="false">IF($E23="","",IFERROR(LOOKUP(VALUE(LEFT($E23&amp;"",FIND("-",$E23&amp;"-")-1)),$C$34:$C$39,$D$34:$D$39),""))</f>
        <v>0</v>
      </c>
      <c r="G23" s="71" t="n">
        <v>0</v>
      </c>
      <c r="H23" s="72" t="str">
        <f aca="false">IF($G23="","n/a",IF($F23=$G23,"ok","MISMATCH"))</f>
        <v>ok</v>
      </c>
      <c r="I23" s="73" t="n">
        <v>30000</v>
      </c>
      <c r="J23" s="108"/>
      <c r="L23" s="38" t="s">
        <v>181</v>
      </c>
    </row>
    <row r="24" customFormat="false" ht="15" hidden="false" customHeight="true" outlineLevel="0" collapsed="false">
      <c r="B24" s="66" t="s">
        <v>567</v>
      </c>
      <c r="C24" s="14" t="s">
        <v>564</v>
      </c>
      <c r="D24" s="109" t="s">
        <v>565</v>
      </c>
      <c r="E24" s="69" t="s">
        <v>514</v>
      </c>
      <c r="F24" s="70" t="n">
        <f aca="false">IF($E24="","",IFERROR(LOOKUP(VALUE(LEFT($E24&amp;"",FIND("-",$E24&amp;"-")-1)),$C$34:$C$39,$D$34:$D$39),""))</f>
        <v>0</v>
      </c>
      <c r="G24" s="71" t="n">
        <v>0</v>
      </c>
      <c r="H24" s="72" t="str">
        <f aca="false">IF($G24="","n/a",IF($F24=$G24,"ok","MISMATCH"))</f>
        <v>ok</v>
      </c>
      <c r="I24" s="73" t="n">
        <v>30000</v>
      </c>
      <c r="J24" s="108"/>
      <c r="L24" s="38" t="s">
        <v>567</v>
      </c>
    </row>
    <row r="25" customFormat="false" ht="15" hidden="false" customHeight="true" outlineLevel="0" collapsed="false">
      <c r="B25" s="66" t="s">
        <v>294</v>
      </c>
      <c r="C25" s="14" t="s">
        <v>559</v>
      </c>
      <c r="D25" s="102" t="s">
        <v>560</v>
      </c>
      <c r="E25" s="69" t="s">
        <v>514</v>
      </c>
      <c r="F25" s="70" t="n">
        <f aca="false">IF($E25="","",IFERROR(LOOKUP(VALUE(LEFT($E25&amp;"",FIND("-",$E25&amp;"-")-1)),$C$34:$C$39,$D$34:$D$39),""))</f>
        <v>0</v>
      </c>
      <c r="G25" s="71" t="n">
        <v>0</v>
      </c>
      <c r="H25" s="72" t="str">
        <f aca="false">IF($G25="","n/a",IF($F25=$G25,"ok","MISMATCH"))</f>
        <v>ok</v>
      </c>
      <c r="I25" s="73" t="n">
        <v>30000</v>
      </c>
      <c r="J25" s="108"/>
      <c r="L25" s="38" t="s">
        <v>294</v>
      </c>
    </row>
    <row r="26" customFormat="false" ht="15" hidden="false" customHeight="true" outlineLevel="0" collapsed="false">
      <c r="B26" s="66" t="s">
        <v>290</v>
      </c>
      <c r="C26" s="14" t="s">
        <v>563</v>
      </c>
      <c r="D26" s="109" t="s">
        <v>565</v>
      </c>
      <c r="E26" s="69" t="s">
        <v>514</v>
      </c>
      <c r="F26" s="70" t="n">
        <f aca="false">IF($E26="","",IFERROR(LOOKUP(VALUE(LEFT($E26&amp;"",FIND("-",$E26&amp;"-")-1)),$C$34:$C$39,$D$34:$D$39),""))</f>
        <v>0</v>
      </c>
      <c r="G26" s="71" t="n">
        <v>0</v>
      </c>
      <c r="H26" s="72" t="str">
        <f aca="false">IF($G26="","n/a",IF($F26=$G26,"ok","MISMATCH"))</f>
        <v>ok</v>
      </c>
      <c r="I26" s="73" t="n">
        <v>30000</v>
      </c>
      <c r="J26" s="108"/>
      <c r="L26" s="38" t="s">
        <v>290</v>
      </c>
    </row>
    <row r="28" customFormat="false" ht="15" hidden="false" customHeight="true" outlineLevel="0" collapsed="false">
      <c r="B28" s="11" t="s">
        <v>459</v>
      </c>
      <c r="F28" s="77" t="n">
        <f aca="false">SUM(F11:F26)</f>
        <v>3350</v>
      </c>
    </row>
    <row r="29" customFormat="false" ht="15" hidden="false" customHeight="true" outlineLevel="0" collapsed="false">
      <c r="B29" s="18" t="s">
        <v>568</v>
      </c>
    </row>
    <row r="31" customFormat="false" ht="15" hidden="false" customHeight="true" outlineLevel="0" collapsed="false">
      <c r="B31" s="11" t="s">
        <v>461</v>
      </c>
    </row>
    <row r="32" customFormat="false" ht="15" hidden="false" customHeight="true" outlineLevel="0" collapsed="false">
      <c r="B32" s="78" t="s">
        <v>569</v>
      </c>
    </row>
    <row r="33" customFormat="false" ht="15" hidden="false" customHeight="true" outlineLevel="0" collapsed="false">
      <c r="B33" s="4" t="s">
        <v>463</v>
      </c>
      <c r="C33" s="4" t="s">
        <v>464</v>
      </c>
      <c r="D33" s="4" t="s">
        <v>465</v>
      </c>
    </row>
    <row r="34" customFormat="false" ht="15" hidden="false" customHeight="true" outlineLevel="0" collapsed="false">
      <c r="C34" s="13" t="n">
        <v>1</v>
      </c>
      <c r="D34" s="79" t="n">
        <v>1000</v>
      </c>
      <c r="E34" s="80" t="s">
        <v>466</v>
      </c>
    </row>
    <row r="35" customFormat="false" ht="15" hidden="false" customHeight="true" outlineLevel="0" collapsed="false">
      <c r="C35" s="13" t="n">
        <v>2</v>
      </c>
      <c r="D35" s="79" t="n">
        <v>750</v>
      </c>
      <c r="E35" s="80" t="s">
        <v>467</v>
      </c>
    </row>
    <row r="36" customFormat="false" ht="15" hidden="false" customHeight="true" outlineLevel="0" collapsed="false">
      <c r="C36" s="13" t="n">
        <v>3</v>
      </c>
      <c r="D36" s="79" t="n">
        <v>500</v>
      </c>
      <c r="E36" s="80" t="s">
        <v>468</v>
      </c>
    </row>
    <row r="37" customFormat="false" ht="15" hidden="false" customHeight="true" outlineLevel="0" collapsed="false">
      <c r="C37" s="13" t="n">
        <v>4</v>
      </c>
      <c r="D37" s="79" t="n">
        <v>300</v>
      </c>
      <c r="E37" s="80" t="s">
        <v>469</v>
      </c>
    </row>
    <row r="38" customFormat="false" ht="15" hidden="false" customHeight="true" outlineLevel="0" collapsed="false">
      <c r="C38" s="13" t="n">
        <v>5</v>
      </c>
      <c r="D38" s="79" t="n">
        <v>200</v>
      </c>
      <c r="E38" s="80" t="s">
        <v>537</v>
      </c>
    </row>
    <row r="39" customFormat="false" ht="15" hidden="false" customHeight="true" outlineLevel="0" collapsed="false">
      <c r="C39" s="13" t="n">
        <v>9</v>
      </c>
      <c r="D39" s="79" t="n">
        <v>0</v>
      </c>
      <c r="E39" s="80" t="s">
        <v>570</v>
      </c>
    </row>
    <row r="41" customFormat="false" ht="15" hidden="false" customHeight="true" outlineLevel="0" collapsed="false">
      <c r="B41" s="11" t="s">
        <v>571</v>
      </c>
    </row>
    <row r="42" customFormat="false" ht="15" hidden="false" customHeight="true" outlineLevel="0" collapsed="false">
      <c r="B42" s="3" t="s">
        <v>572</v>
      </c>
      <c r="C42" s="3"/>
      <c r="D42" s="3"/>
      <c r="E42" s="3"/>
      <c r="F42" s="3"/>
      <c r="G42" s="3"/>
      <c r="H42" s="3"/>
      <c r="I42" s="3"/>
      <c r="J42" s="3"/>
    </row>
    <row r="43" customFormat="false" ht="15" hidden="false" customHeight="true" outlineLevel="0" collapsed="false">
      <c r="B43" s="3"/>
      <c r="C43" s="3"/>
      <c r="D43" s="3"/>
      <c r="E43" s="3"/>
      <c r="F43" s="3"/>
      <c r="G43" s="3"/>
      <c r="H43" s="3"/>
      <c r="I43" s="3"/>
      <c r="J43" s="3"/>
    </row>
    <row r="44" customFormat="false" ht="15" hidden="false" customHeight="true" outlineLevel="0" collapsed="false">
      <c r="B44" s="3"/>
      <c r="C44" s="3"/>
      <c r="D44" s="3"/>
      <c r="E44" s="3"/>
      <c r="F44" s="3"/>
      <c r="G44" s="3"/>
      <c r="H44" s="3"/>
      <c r="I44" s="3"/>
      <c r="J44" s="3"/>
    </row>
    <row r="45" customFormat="false" ht="15" hidden="false" customHeight="true" outlineLevel="0" collapsed="false">
      <c r="B45" s="3"/>
      <c r="C45" s="3"/>
      <c r="D45" s="3"/>
      <c r="E45" s="3"/>
      <c r="F45" s="3"/>
      <c r="G45" s="3"/>
      <c r="H45" s="3"/>
      <c r="I45" s="3"/>
      <c r="J45" s="3"/>
    </row>
    <row r="46" customFormat="false" ht="15" hidden="false" customHeight="true" outlineLevel="0" collapsed="false">
      <c r="B46" s="3"/>
      <c r="C46" s="3"/>
      <c r="D46" s="3"/>
      <c r="E46" s="3"/>
      <c r="F46" s="3"/>
      <c r="G46" s="3"/>
      <c r="H46" s="3"/>
      <c r="I46" s="3"/>
      <c r="J46" s="3"/>
    </row>
    <row r="48" customFormat="false" ht="23.25" hidden="false" customHeight="true" outlineLevel="0" collapsed="false">
      <c r="B48" s="4" t="s">
        <v>556</v>
      </c>
      <c r="C48" s="4" t="s">
        <v>573</v>
      </c>
      <c r="D48" s="4" t="s">
        <v>574</v>
      </c>
      <c r="E48" s="4" t="s">
        <v>575</v>
      </c>
      <c r="F48" s="4" t="s">
        <v>576</v>
      </c>
      <c r="G48" s="4" t="s">
        <v>577</v>
      </c>
      <c r="H48" s="4" t="s">
        <v>578</v>
      </c>
      <c r="I48" s="4" t="s">
        <v>579</v>
      </c>
    </row>
    <row r="49" customFormat="false" ht="15" hidden="false" customHeight="true" outlineLevel="0" collapsed="false">
      <c r="B49" s="110" t="s">
        <v>558</v>
      </c>
      <c r="C49" s="13" t="n">
        <f aca="false">COUNTIF($D$11:$D$26,$B49)</f>
        <v>7</v>
      </c>
      <c r="D49" s="13" t="n">
        <f aca="false">1</f>
        <v>1</v>
      </c>
      <c r="E49" s="13" t="n">
        <f aca="false">D49+C49-1</f>
        <v>7</v>
      </c>
      <c r="F49" s="111" t="n">
        <f aca="false">(D49+E49)/2</f>
        <v>4</v>
      </c>
      <c r="G49" s="112" t="n">
        <f aca="false">(E49-D49+1)/SQRT(12)</f>
        <v>2.02072594216369</v>
      </c>
      <c r="H49" s="112" t="n">
        <f aca="false">$D$54/100*$D$55/2</f>
        <v>3.2</v>
      </c>
      <c r="I49" s="112" t="n">
        <f aca="false">SQRT(G49^2+H49^2)</f>
        <v>3.78461799040978</v>
      </c>
    </row>
    <row r="50" customFormat="false" ht="15" hidden="false" customHeight="true" outlineLevel="0" collapsed="false">
      <c r="B50" s="113" t="s">
        <v>560</v>
      </c>
      <c r="C50" s="13" t="n">
        <f aca="false">COUNTIF($D$11:$D$26,$B50)</f>
        <v>4</v>
      </c>
      <c r="D50" s="13" t="n">
        <f aca="false">E49+1</f>
        <v>8</v>
      </c>
      <c r="E50" s="13" t="n">
        <f aca="false">D50+C50-1</f>
        <v>11</v>
      </c>
      <c r="F50" s="111" t="n">
        <f aca="false">(D50+E50)/2</f>
        <v>9.5</v>
      </c>
      <c r="G50" s="112" t="n">
        <f aca="false">(E50-D50+1)/SQRT(12)</f>
        <v>1.15470053837925</v>
      </c>
      <c r="H50" s="112" t="n">
        <f aca="false">$D$54/100*$D$55/2</f>
        <v>3.2</v>
      </c>
      <c r="I50" s="112" t="n">
        <f aca="false">SQRT(G50^2+H50^2)</f>
        <v>3.40196021924615</v>
      </c>
    </row>
    <row r="51" customFormat="false" ht="15" hidden="false" customHeight="true" outlineLevel="0" collapsed="false">
      <c r="B51" s="114" t="s">
        <v>565</v>
      </c>
      <c r="C51" s="13" t="n">
        <f aca="false">COUNTIF($D$11:$D$26,$B51)</f>
        <v>5</v>
      </c>
      <c r="D51" s="13" t="n">
        <f aca="false">E50+1</f>
        <v>12</v>
      </c>
      <c r="E51" s="13" t="n">
        <f aca="false">D51+C51-1</f>
        <v>16</v>
      </c>
      <c r="F51" s="111" t="n">
        <f aca="false">(D51+E51)/2</f>
        <v>14</v>
      </c>
      <c r="G51" s="112" t="n">
        <f aca="false">(E51-D51+1)/SQRT(12)</f>
        <v>1.44337567297406</v>
      </c>
      <c r="H51" s="112" t="n">
        <f aca="false">$D$54/100*$D$55/2</f>
        <v>3.2</v>
      </c>
      <c r="I51" s="112" t="n">
        <f aca="false">SQRT(G51^2+H51^2)</f>
        <v>3.51046055857822</v>
      </c>
    </row>
    <row r="53" customFormat="false" ht="15" hidden="false" customHeight="true" outlineLevel="0" collapsed="false">
      <c r="B53" s="115" t="s">
        <v>580</v>
      </c>
    </row>
    <row r="54" customFormat="false" ht="15" hidden="false" customHeight="true" outlineLevel="0" collapsed="false">
      <c r="B54" s="116" t="s">
        <v>581</v>
      </c>
      <c r="D54" s="14" t="n">
        <v>40</v>
      </c>
    </row>
    <row r="55" customFormat="false" ht="15" hidden="false" customHeight="true" outlineLevel="0" collapsed="false">
      <c r="B55" s="116" t="s">
        <v>582</v>
      </c>
      <c r="D55" s="14" t="n">
        <v>16</v>
      </c>
    </row>
    <row r="56" customFormat="false" ht="15" hidden="false" customHeight="true" outlineLevel="0" collapsed="false">
      <c r="B56" s="18" t="s">
        <v>583</v>
      </c>
    </row>
    <row r="57" customFormat="false" ht="15" hidden="false" customHeight="true" outlineLevel="0" collapsed="false">
      <c r="B57" s="78" t="s">
        <v>584</v>
      </c>
    </row>
  </sheetData>
  <sheetProtection sheet="true" formatCells="false" selectLockedCells="true" selectUnlockedCells="true"/>
  <mergeCells count="1">
    <mergeCell ref="B42:J46"/>
  </mergeCells>
  <dataValidations count="3">
    <dataValidation allowBlank="true" error="Pick High, Medium or Low — the cohort model reads this cell." errorStyle="stop" errorTitle="Use the dropdown" operator="between" showDropDown="false" showErrorMessage="false" showInputMessage="false" sqref="D11:D26" type="list">
      <formula1>"High,Medium,Low"</formula1>
      <formula2>0</formula2>
    </dataValidation>
    <dataValidation allowBlank="true" error="Pick a placement from the list — free text breaks the points lookup." errorStyle="stop" errorTitle="Use the dropdown" operator="between" showDropDown="false" showErrorMessage="false" showInputMessage="false" sqref="E11:E26" type="list">
      <formula1>"1,2,3,4,5-8,9-12,13-16"</formula1>
      <formula2>0</formula2>
    </dataValidation>
    <dataValidation allowBlank="true" errorStyle="stop" operator="between" showDropDown="false" showErrorMessage="false" showInputMessage="false" sqref="C11:C26" type="list">
      <formula1>"LCK,LPL,LEC,LTA North,LTA South,LCP,Other"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U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13"/>
    <col collapsed="false" customWidth="true" hidden="false" outlineLevel="0" max="4" min="4" style="1" width="9"/>
    <col collapsed="false" customWidth="true" hidden="false" outlineLevel="0" max="6" min="5" style="1" width="12"/>
    <col collapsed="false" customWidth="true" hidden="false" outlineLevel="0" max="7" min="7" style="1" width="15"/>
    <col collapsed="false" customWidth="true" hidden="false" outlineLevel="0" max="8" min="8" style="1" width="10"/>
    <col collapsed="false" customWidth="true" hidden="false" outlineLevel="0" max="9" min="9" style="1" width="12"/>
    <col collapsed="false" customWidth="true" hidden="false" outlineLevel="0" max="10" min="10" style="1" width="42"/>
  </cols>
  <sheetData>
    <row r="2" customFormat="false" ht="18" hidden="false" customHeight="true" outlineLevel="0" collapsed="false">
      <c r="B2" s="2" t="s">
        <v>585</v>
      </c>
    </row>
    <row r="3" customFormat="false" ht="15" hidden="false" customHeight="true" outlineLevel="0" collapsed="false">
      <c r="B3" s="18" t="s">
        <v>586</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587</v>
      </c>
      <c r="D6" s="28" t="s">
        <v>588</v>
      </c>
      <c r="F6" s="28" t="s">
        <v>589</v>
      </c>
      <c r="H6" s="28" t="s">
        <v>590</v>
      </c>
      <c r="J6" s="28" t="s">
        <v>591</v>
      </c>
      <c r="L6" s="28" t="s">
        <v>592</v>
      </c>
    </row>
    <row r="8" customFormat="false" ht="15" hidden="false" customHeight="true" outlineLevel="0" collapsed="false">
      <c r="B8" s="11" t="s">
        <v>416</v>
      </c>
    </row>
    <row r="9" customFormat="false" ht="15" hidden="false" customHeight="true" outlineLevel="0" collapsed="false">
      <c r="B9" s="18" t="s">
        <v>593</v>
      </c>
    </row>
    <row r="10" customFormat="false" ht="34.5" hidden="false" customHeight="true" outlineLevel="0" collapsed="false">
      <c r="B10" s="4" t="s">
        <v>418</v>
      </c>
      <c r="C10" s="4" t="s">
        <v>555</v>
      </c>
      <c r="D10" s="4" t="s">
        <v>541</v>
      </c>
      <c r="E10" s="4" t="s">
        <v>421</v>
      </c>
      <c r="F10" s="4" t="s">
        <v>422</v>
      </c>
      <c r="G10" s="4" t="s">
        <v>423</v>
      </c>
      <c r="H10" s="4" t="s">
        <v>424</v>
      </c>
      <c r="I10" s="4" t="s">
        <v>425</v>
      </c>
      <c r="J10" s="4" t="s">
        <v>490</v>
      </c>
      <c r="L10" s="4" t="s">
        <v>426</v>
      </c>
    </row>
    <row r="11" customFormat="false" ht="15" hidden="false" customHeight="true" outlineLevel="0" collapsed="false">
      <c r="B11" s="29" t="s">
        <v>259</v>
      </c>
      <c r="C11" s="14" t="s">
        <v>594</v>
      </c>
      <c r="D11" s="98"/>
      <c r="E11" s="32" t="s">
        <v>427</v>
      </c>
      <c r="F11" s="33" t="n">
        <f aca="false">IF($E11="","",IFERROR(LOOKUP(VALUE(LEFT($E11&amp;"",FIND("-",$E11&amp;"-")-1)),$C$47:$C$55,$D$47:$D$55),""))</f>
        <v>1000</v>
      </c>
      <c r="G11" s="34" t="n">
        <v>1000</v>
      </c>
      <c r="H11" s="35" t="str">
        <f aca="false">IF($G11="","n/a",IF($F11=$G11,"ok","MISMATCH"))</f>
        <v>ok</v>
      </c>
      <c r="I11" s="36" t="n">
        <v>555000</v>
      </c>
      <c r="J11" s="85" t="s">
        <v>595</v>
      </c>
      <c r="L11" s="38" t="s">
        <v>259</v>
      </c>
    </row>
    <row r="12" customFormat="false" ht="15" hidden="false" customHeight="true" outlineLevel="0" collapsed="false">
      <c r="B12" s="39" t="s">
        <v>255</v>
      </c>
      <c r="C12" s="14" t="s">
        <v>596</v>
      </c>
      <c r="D12" s="101"/>
      <c r="E12" s="42" t="s">
        <v>428</v>
      </c>
      <c r="F12" s="43" t="n">
        <f aca="false">IF($E12="","",IFERROR(LOOKUP(VALUE(LEFT($E12&amp;"",FIND("-",$E12&amp;"-")-1)),$C$47:$C$55,$D$47:$D$55),""))</f>
        <v>750</v>
      </c>
      <c r="G12" s="44" t="n">
        <v>750</v>
      </c>
      <c r="H12" s="45" t="str">
        <f aca="false">IF($G12="","n/a",IF($F12=$G12,"ok","MISMATCH"))</f>
        <v>ok</v>
      </c>
      <c r="I12" s="46" t="n">
        <v>293000</v>
      </c>
      <c r="J12" s="87" t="s">
        <v>597</v>
      </c>
      <c r="L12" s="38" t="s">
        <v>255</v>
      </c>
    </row>
    <row r="13" customFormat="false" ht="15" hidden="false" customHeight="true" outlineLevel="0" collapsed="false">
      <c r="B13" s="48" t="s">
        <v>157</v>
      </c>
      <c r="C13" s="14" t="s">
        <v>598</v>
      </c>
      <c r="D13" s="104"/>
      <c r="E13" s="51" t="s">
        <v>430</v>
      </c>
      <c r="F13" s="52" t="n">
        <f aca="false">IF($E13="","",IFERROR(LOOKUP(VALUE(LEFT($E13&amp;"",FIND("-",$E13&amp;"-")-1)),$C$47:$C$55,$D$47:$D$55),""))</f>
        <v>500</v>
      </c>
      <c r="G13" s="53" t="n">
        <v>500</v>
      </c>
      <c r="H13" s="54" t="str">
        <f aca="false">IF($G13="","n/a",IF($F13=$G13,"ok","MISMATCH"))</f>
        <v>ok</v>
      </c>
      <c r="I13" s="55" t="n">
        <v>210000</v>
      </c>
      <c r="J13" s="89" t="s">
        <v>599</v>
      </c>
      <c r="L13" s="38" t="s">
        <v>157</v>
      </c>
    </row>
    <row r="14" customFormat="false" ht="15" hidden="false" customHeight="true" outlineLevel="0" collapsed="false">
      <c r="B14" s="57" t="s">
        <v>306</v>
      </c>
      <c r="C14" s="14" t="s">
        <v>600</v>
      </c>
      <c r="D14" s="106"/>
      <c r="E14" s="60" t="s">
        <v>431</v>
      </c>
      <c r="F14" s="61" t="n">
        <f aca="false">IF($E14="","",IFERROR(LOOKUP(VALUE(LEFT($E14&amp;"",FIND("-",$E14&amp;"-")-1)),$C$47:$C$55,$D$47:$D$55),""))</f>
        <v>300</v>
      </c>
      <c r="G14" s="62" t="n">
        <v>300</v>
      </c>
      <c r="H14" s="63" t="str">
        <f aca="false">IF($G14="","n/a",IF($F14=$G14,"ok","MISMATCH"))</f>
        <v>ok</v>
      </c>
      <c r="I14" s="64" t="n">
        <v>161000</v>
      </c>
      <c r="J14" s="91" t="s">
        <v>601</v>
      </c>
      <c r="L14" s="38" t="s">
        <v>306</v>
      </c>
    </row>
    <row r="15" customFormat="false" ht="15" hidden="false" customHeight="true" outlineLevel="0" collapsed="false">
      <c r="B15" s="57" t="s">
        <v>602</v>
      </c>
      <c r="C15" s="14" t="s">
        <v>603</v>
      </c>
      <c r="D15" s="106"/>
      <c r="E15" s="60" t="s">
        <v>604</v>
      </c>
      <c r="F15" s="61" t="n">
        <f aca="false">IF($E15="","",IFERROR(LOOKUP(VALUE(LEFT($E15&amp;"",FIND("-",$E15&amp;"-")-1)),$C$47:$C$55,$D$47:$D$55),""))</f>
        <v>200</v>
      </c>
      <c r="G15" s="62" t="n">
        <v>200</v>
      </c>
      <c r="H15" s="63" t="str">
        <f aca="false">IF($G15="","n/a",IF($F15=$G15,"ok","MISMATCH"))</f>
        <v>ok</v>
      </c>
      <c r="I15" s="64" t="n">
        <v>141000</v>
      </c>
      <c r="J15" s="91" t="s">
        <v>605</v>
      </c>
      <c r="L15" s="38" t="s">
        <v>602</v>
      </c>
    </row>
    <row r="16" customFormat="false" ht="15" hidden="false" customHeight="true" outlineLevel="0" collapsed="false">
      <c r="B16" s="57" t="s">
        <v>606</v>
      </c>
      <c r="C16" s="14" t="s">
        <v>607</v>
      </c>
      <c r="D16" s="106"/>
      <c r="E16" s="60" t="s">
        <v>608</v>
      </c>
      <c r="F16" s="61" t="n">
        <f aca="false">IF($E16="","",IFERROR(LOOKUP(VALUE(LEFT($E16&amp;"",FIND("-",$E16&amp;"-")-1)),$C$47:$C$55,$D$47:$D$55),""))</f>
        <v>150</v>
      </c>
      <c r="G16" s="62"/>
      <c r="H16" s="63" t="str">
        <f aca="false">IF($G16="","n/a",IF($F16=$G16,"ok","MISMATCH"))</f>
        <v>n/a</v>
      </c>
      <c r="I16" s="64" t="n">
        <v>161000</v>
      </c>
      <c r="J16" s="91" t="s">
        <v>609</v>
      </c>
      <c r="L16" s="76" t="s">
        <v>610</v>
      </c>
    </row>
    <row r="17" customFormat="false" ht="15" hidden="false" customHeight="true" outlineLevel="0" collapsed="false">
      <c r="B17" s="57" t="s">
        <v>533</v>
      </c>
      <c r="C17" s="14" t="s">
        <v>600</v>
      </c>
      <c r="D17" s="106"/>
      <c r="E17" s="60" t="s">
        <v>611</v>
      </c>
      <c r="F17" s="61" t="n">
        <f aca="false">IF($E17="","",IFERROR(LOOKUP(VALUE(LEFT($E17&amp;"",FIND("-",$E17&amp;"-")-1)),$C$47:$C$55,$D$47:$D$55),""))</f>
        <v>100</v>
      </c>
      <c r="G17" s="62" t="n">
        <v>100</v>
      </c>
      <c r="H17" s="63" t="str">
        <f aca="false">IF($G17="","n/a",IF($F17=$G17,"ok","MISMATCH"))</f>
        <v>ok</v>
      </c>
      <c r="I17" s="64" t="n">
        <v>137500</v>
      </c>
      <c r="J17" s="91" t="s">
        <v>601</v>
      </c>
      <c r="L17" s="38" t="s">
        <v>533</v>
      </c>
    </row>
    <row r="18" customFormat="false" ht="15" hidden="false" customHeight="true" outlineLevel="0" collapsed="false">
      <c r="B18" s="57" t="s">
        <v>366</v>
      </c>
      <c r="C18" s="14" t="s">
        <v>607</v>
      </c>
      <c r="D18" s="106"/>
      <c r="E18" s="60" t="s">
        <v>612</v>
      </c>
      <c r="F18" s="61" t="n">
        <f aca="false">IF($E18="","",IFERROR(LOOKUP(VALUE(LEFT($E18&amp;"",FIND("-",$E18&amp;"-")-1)),$C$47:$C$55,$D$47:$D$55),""))</f>
        <v>50</v>
      </c>
      <c r="G18" s="62" t="n">
        <v>50</v>
      </c>
      <c r="H18" s="63" t="str">
        <f aca="false">IF($G18="","n/a",IF($F18=$G18,"ok","MISMATCH"))</f>
        <v>ok</v>
      </c>
      <c r="I18" s="64" t="n">
        <v>127500</v>
      </c>
      <c r="J18" s="91" t="s">
        <v>609</v>
      </c>
      <c r="L18" s="38" t="s">
        <v>366</v>
      </c>
    </row>
    <row r="19" customFormat="false" ht="15" hidden="false" customHeight="true" outlineLevel="0" collapsed="false">
      <c r="B19" s="66" t="s">
        <v>380</v>
      </c>
      <c r="C19" s="14" t="s">
        <v>613</v>
      </c>
      <c r="D19" s="14"/>
      <c r="E19" s="69" t="s">
        <v>614</v>
      </c>
      <c r="F19" s="70" t="n">
        <f aca="false">IF($E19="","",IFERROR(LOOKUP(VALUE(LEFT($E19&amp;"",FIND("-",$E19&amp;"-")-1)),$C$47:$C$55,$D$47:$D$55),""))</f>
        <v>0</v>
      </c>
      <c r="G19" s="71" t="n">
        <v>0</v>
      </c>
      <c r="H19" s="72" t="str">
        <f aca="false">IF($G19="","n/a",IF($F19=$G19,"ok","MISMATCH"))</f>
        <v>ok</v>
      </c>
      <c r="I19" s="73" t="n">
        <v>115000</v>
      </c>
      <c r="J19" s="16" t="s">
        <v>615</v>
      </c>
      <c r="L19" s="38" t="s">
        <v>380</v>
      </c>
    </row>
    <row r="20" customFormat="false" ht="15" hidden="false" customHeight="true" outlineLevel="0" collapsed="false">
      <c r="B20" s="66" t="s">
        <v>181</v>
      </c>
      <c r="C20" s="14" t="s">
        <v>616</v>
      </c>
      <c r="D20" s="14"/>
      <c r="E20" s="69" t="s">
        <v>617</v>
      </c>
      <c r="F20" s="70" t="n">
        <f aca="false">IF($E20="","",IFERROR(LOOKUP(VALUE(LEFT($E20&amp;"",FIND("-",$E20&amp;"-")-1)),$C$47:$C$55,$D$47:$D$55),""))</f>
        <v>0</v>
      </c>
      <c r="G20" s="71" t="n">
        <v>0</v>
      </c>
      <c r="H20" s="72" t="str">
        <f aca="false">IF($G20="","n/a",IF($F20=$G20,"ok","MISMATCH"))</f>
        <v>ok</v>
      </c>
      <c r="I20" s="73" t="n">
        <v>95000</v>
      </c>
      <c r="J20" s="16" t="s">
        <v>618</v>
      </c>
      <c r="L20" s="38" t="s">
        <v>181</v>
      </c>
    </row>
    <row r="21" customFormat="false" ht="15" hidden="false" customHeight="true" outlineLevel="0" collapsed="false">
      <c r="B21" s="66" t="s">
        <v>619</v>
      </c>
      <c r="C21" s="14" t="s">
        <v>594</v>
      </c>
      <c r="D21" s="14"/>
      <c r="E21" s="69" t="s">
        <v>620</v>
      </c>
      <c r="F21" s="70" t="n">
        <f aca="false">IF($E21="","",IFERROR(LOOKUP(VALUE(LEFT($E21&amp;"",FIND("-",$E21&amp;"-")-1)),$C$47:$C$55,$D$47:$D$55),""))</f>
        <v>0</v>
      </c>
      <c r="G21" s="71"/>
      <c r="H21" s="72" t="str">
        <f aca="false">IF($G21="","n/a",IF($F21=$G21,"ok","MISMATCH"))</f>
        <v>n/a</v>
      </c>
      <c r="I21" s="73" t="n">
        <v>92000</v>
      </c>
      <c r="J21" s="16" t="s">
        <v>595</v>
      </c>
      <c r="L21" s="38" t="s">
        <v>619</v>
      </c>
    </row>
    <row r="22" customFormat="false" ht="15" hidden="false" customHeight="true" outlineLevel="0" collapsed="false">
      <c r="B22" s="66" t="s">
        <v>119</v>
      </c>
      <c r="C22" s="14" t="s">
        <v>600</v>
      </c>
      <c r="D22" s="14"/>
      <c r="E22" s="69" t="s">
        <v>621</v>
      </c>
      <c r="F22" s="70" t="n">
        <f aca="false">IF($E22="","",IFERROR(LOOKUP(VALUE(LEFT($E22&amp;"",FIND("-",$E22&amp;"-")-1)),$C$47:$C$55,$D$47:$D$55),""))</f>
        <v>0</v>
      </c>
      <c r="G22" s="71" t="n">
        <v>0</v>
      </c>
      <c r="H22" s="72" t="str">
        <f aca="false">IF($G22="","n/a",IF($F22=$G22,"ok","MISMATCH"))</f>
        <v>ok</v>
      </c>
      <c r="I22" s="73" t="n">
        <v>116000</v>
      </c>
      <c r="J22" s="16" t="s">
        <v>622</v>
      </c>
      <c r="L22" s="38" t="s">
        <v>119</v>
      </c>
    </row>
    <row r="23" customFormat="false" ht="15" hidden="false" customHeight="true" outlineLevel="0" collapsed="false">
      <c r="B23" s="66" t="s">
        <v>500</v>
      </c>
      <c r="C23" s="14" t="s">
        <v>623</v>
      </c>
      <c r="D23" s="14"/>
      <c r="E23" s="69" t="s">
        <v>624</v>
      </c>
      <c r="F23" s="70" t="n">
        <f aca="false">IF($E23="","",IFERROR(LOOKUP(VALUE(LEFT($E23&amp;"",FIND("-",$E23&amp;"-")-1)),$C$47:$C$55,$D$47:$D$55),""))</f>
        <v>0</v>
      </c>
      <c r="G23" s="71"/>
      <c r="H23" s="72" t="str">
        <f aca="false">IF($G23="","n/a",IF($F23=$G23,"ok","MISMATCH"))</f>
        <v>n/a</v>
      </c>
      <c r="I23" s="73" t="n">
        <v>100000</v>
      </c>
      <c r="J23" s="16" t="s">
        <v>625</v>
      </c>
      <c r="L23" s="76" t="s">
        <v>138</v>
      </c>
    </row>
    <row r="24" customFormat="false" ht="15" hidden="false" customHeight="true" outlineLevel="0" collapsed="false">
      <c r="B24" s="66" t="s">
        <v>626</v>
      </c>
      <c r="C24" s="14" t="s">
        <v>613</v>
      </c>
      <c r="D24" s="14"/>
      <c r="E24" s="69" t="s">
        <v>627</v>
      </c>
      <c r="F24" s="70" t="n">
        <f aca="false">IF($E24="","",IFERROR(LOOKUP(VALUE(LEFT($E24&amp;"",FIND("-",$E24&amp;"-")-1)),$C$47:$C$55,$D$47:$D$55),""))</f>
        <v>0</v>
      </c>
      <c r="G24" s="71"/>
      <c r="H24" s="72" t="str">
        <f aca="false">IF($G24="","n/a",IF($F24=$G24,"ok","MISMATCH"))</f>
        <v>n/a</v>
      </c>
      <c r="I24" s="73" t="n">
        <v>76000</v>
      </c>
      <c r="J24" s="16" t="s">
        <v>615</v>
      </c>
      <c r="L24" s="38" t="s">
        <v>626</v>
      </c>
    </row>
    <row r="25" customFormat="false" ht="15" hidden="false" customHeight="true" outlineLevel="0" collapsed="false">
      <c r="B25" s="66" t="s">
        <v>628</v>
      </c>
      <c r="C25" s="14" t="s">
        <v>623</v>
      </c>
      <c r="D25" s="14"/>
      <c r="E25" s="69" t="s">
        <v>629</v>
      </c>
      <c r="F25" s="70" t="n">
        <f aca="false">IF($E25="","",IFERROR(LOOKUP(VALUE(LEFT($E25&amp;"",FIND("-",$E25&amp;"-")-1)),$C$47:$C$55,$D$47:$D$55),""))</f>
        <v>0</v>
      </c>
      <c r="G25" s="71"/>
      <c r="H25" s="72" t="str">
        <f aca="false">IF($G25="","n/a",IF($F25=$G25,"ok","MISMATCH"))</f>
        <v>n/a</v>
      </c>
      <c r="I25" s="73" t="n">
        <v>95000</v>
      </c>
      <c r="J25" s="16" t="s">
        <v>630</v>
      </c>
      <c r="L25" s="38" t="s">
        <v>628</v>
      </c>
    </row>
    <row r="26" customFormat="false" ht="15" hidden="false" customHeight="true" outlineLevel="0" collapsed="false">
      <c r="B26" s="66" t="s">
        <v>631</v>
      </c>
      <c r="C26" s="14" t="s">
        <v>594</v>
      </c>
      <c r="D26" s="14"/>
      <c r="E26" s="69" t="s">
        <v>632</v>
      </c>
      <c r="F26" s="70" t="n">
        <f aca="false">IF($E26="","",IFERROR(LOOKUP(VALUE(LEFT($E26&amp;"",FIND("-",$E26&amp;"-")-1)),$C$47:$C$55,$D$47:$D$55),""))</f>
        <v>0</v>
      </c>
      <c r="G26" s="71"/>
      <c r="H26" s="72" t="str">
        <f aca="false">IF($G26="","n/a",IF($F26=$G26,"ok","MISMATCH"))</f>
        <v>n/a</v>
      </c>
      <c r="I26" s="73" t="n">
        <v>90000</v>
      </c>
      <c r="J26" s="16" t="s">
        <v>595</v>
      </c>
      <c r="L26" s="38" t="s">
        <v>631</v>
      </c>
    </row>
    <row r="27" customFormat="false" ht="15" hidden="false" customHeight="true" outlineLevel="0" collapsed="false">
      <c r="B27" s="66" t="s">
        <v>206</v>
      </c>
      <c r="C27" s="14" t="s">
        <v>616</v>
      </c>
      <c r="D27" s="14"/>
      <c r="E27" s="69" t="s">
        <v>524</v>
      </c>
      <c r="F27" s="70" t="n">
        <f aca="false">IF($E27="","",IFERROR(LOOKUP(VALUE(LEFT($E27&amp;"",FIND("-",$E27&amp;"-")-1)),$C$47:$C$55,$D$47:$D$55),""))</f>
        <v>0</v>
      </c>
      <c r="G27" s="71" t="n">
        <v>0</v>
      </c>
      <c r="H27" s="72" t="str">
        <f aca="false">IF($G27="","n/a",IF($F27=$G27,"ok","MISMATCH"))</f>
        <v>ok</v>
      </c>
      <c r="I27" s="73" t="n">
        <v>34000</v>
      </c>
      <c r="J27" s="16" t="s">
        <v>618</v>
      </c>
      <c r="L27" s="38" t="s">
        <v>206</v>
      </c>
    </row>
    <row r="28" customFormat="false" ht="15" hidden="false" customHeight="true" outlineLevel="0" collapsed="false">
      <c r="B28" s="66" t="s">
        <v>633</v>
      </c>
      <c r="C28" s="14" t="s">
        <v>598</v>
      </c>
      <c r="D28" s="14"/>
      <c r="E28" s="69" t="s">
        <v>527</v>
      </c>
      <c r="F28" s="70" t="n">
        <f aca="false">IF($E28="","",IFERROR(LOOKUP(VALUE(LEFT($E28&amp;"",FIND("-",$E28&amp;"-")-1)),$C$47:$C$55,$D$47:$D$55),""))</f>
        <v>0</v>
      </c>
      <c r="G28" s="71"/>
      <c r="H28" s="72" t="str">
        <f aca="false">IF($G28="","n/a",IF($F28=$G28,"ok","MISMATCH"))</f>
        <v>n/a</v>
      </c>
      <c r="I28" s="73" t="n">
        <v>37000</v>
      </c>
      <c r="J28" s="16" t="s">
        <v>599</v>
      </c>
      <c r="L28" s="38" t="s">
        <v>633</v>
      </c>
    </row>
    <row r="29" customFormat="false" ht="15" hidden="false" customHeight="true" outlineLevel="0" collapsed="false">
      <c r="B29" s="66" t="s">
        <v>235</v>
      </c>
      <c r="C29" s="14" t="s">
        <v>616</v>
      </c>
      <c r="D29" s="14"/>
      <c r="E29" s="69" t="s">
        <v>634</v>
      </c>
      <c r="F29" s="70" t="n">
        <f aca="false">IF($E29="","",IFERROR(LOOKUP(VALUE(LEFT($E29&amp;"",FIND("-",$E29&amp;"-")-1)),$C$47:$C$55,$D$47:$D$55),""))</f>
        <v>0</v>
      </c>
      <c r="G29" s="71"/>
      <c r="H29" s="72" t="str">
        <f aca="false">IF($G29="","n/a",IF($F29=$G29,"ok","MISMATCH"))</f>
        <v>n/a</v>
      </c>
      <c r="I29" s="73" t="n">
        <v>36000</v>
      </c>
      <c r="J29" s="16" t="s">
        <v>618</v>
      </c>
      <c r="L29" s="38" t="s">
        <v>235</v>
      </c>
    </row>
    <row r="30" customFormat="false" ht="15" hidden="false" customHeight="true" outlineLevel="0" collapsed="false">
      <c r="B30" s="66" t="s">
        <v>127</v>
      </c>
      <c r="C30" s="14" t="s">
        <v>603</v>
      </c>
      <c r="D30" s="14"/>
      <c r="E30" s="69" t="s">
        <v>635</v>
      </c>
      <c r="F30" s="70" t="n">
        <f aca="false">IF($E30="","",IFERROR(LOOKUP(VALUE(LEFT($E30&amp;"",FIND("-",$E30&amp;"-")-1)),$C$47:$C$55,$D$47:$D$55),""))</f>
        <v>0</v>
      </c>
      <c r="G30" s="71" t="n">
        <v>0</v>
      </c>
      <c r="H30" s="72" t="str">
        <f aca="false">IF($G30="","n/a",IF($F30=$G30,"ok","MISMATCH"))</f>
        <v>ok</v>
      </c>
      <c r="I30" s="73" t="n">
        <v>36000</v>
      </c>
      <c r="J30" s="16" t="s">
        <v>636</v>
      </c>
      <c r="L30" s="38" t="s">
        <v>127</v>
      </c>
    </row>
    <row r="31" customFormat="false" ht="15" hidden="false" customHeight="true" outlineLevel="0" collapsed="false">
      <c r="B31" s="66" t="s">
        <v>637</v>
      </c>
      <c r="C31" s="14" t="s">
        <v>638</v>
      </c>
      <c r="D31" s="14"/>
      <c r="E31" s="69" t="s">
        <v>639</v>
      </c>
      <c r="F31" s="70" t="n">
        <f aca="false">IF($E31="","",IFERROR(LOOKUP(VALUE(LEFT($E31&amp;"",FIND("-",$E31&amp;"-")-1)),$C$47:$C$55,$D$47:$D$55),""))</f>
        <v>0</v>
      </c>
      <c r="G31" s="71"/>
      <c r="H31" s="72" t="str">
        <f aca="false">IF($G31="","n/a",IF($F31=$G31,"ok","MISMATCH"))</f>
        <v>n/a</v>
      </c>
      <c r="I31" s="73" t="n">
        <v>29000</v>
      </c>
      <c r="J31" s="16" t="s">
        <v>640</v>
      </c>
      <c r="L31" s="38" t="s">
        <v>637</v>
      </c>
    </row>
    <row r="32" customFormat="false" ht="15" hidden="false" customHeight="true" outlineLevel="0" collapsed="false">
      <c r="B32" s="66" t="s">
        <v>163</v>
      </c>
      <c r="C32" s="14" t="s">
        <v>613</v>
      </c>
      <c r="D32" s="14"/>
      <c r="E32" s="69" t="s">
        <v>641</v>
      </c>
      <c r="F32" s="70" t="n">
        <f aca="false">IF($E32="","",IFERROR(LOOKUP(VALUE(LEFT($E32&amp;"",FIND("-",$E32&amp;"-")-1)),$C$47:$C$55,$D$47:$D$55),""))</f>
        <v>0</v>
      </c>
      <c r="G32" s="71" t="n">
        <v>0</v>
      </c>
      <c r="H32" s="72" t="str">
        <f aca="false">IF($G32="","n/a",IF($F32=$G32,"ok","MISMATCH"))</f>
        <v>ok</v>
      </c>
      <c r="I32" s="73" t="n">
        <v>28000</v>
      </c>
      <c r="J32" s="16" t="s">
        <v>615</v>
      </c>
      <c r="L32" s="38" t="s">
        <v>163</v>
      </c>
    </row>
    <row r="33" customFormat="false" ht="15" hidden="false" customHeight="true" outlineLevel="0" collapsed="false">
      <c r="B33" s="66" t="s">
        <v>187</v>
      </c>
      <c r="C33" s="14" t="s">
        <v>600</v>
      </c>
      <c r="D33" s="14"/>
      <c r="E33" s="69" t="s">
        <v>642</v>
      </c>
      <c r="F33" s="70" t="n">
        <f aca="false">IF($E33="","",IFERROR(LOOKUP(VALUE(LEFT($E33&amp;"",FIND("-",$E33&amp;"-")-1)),$C$47:$C$55,$D$47:$D$55),""))</f>
        <v>0</v>
      </c>
      <c r="G33" s="71" t="n">
        <v>0</v>
      </c>
      <c r="H33" s="72" t="str">
        <f aca="false">IF($G33="","n/a",IF($F33=$G33,"ok","MISMATCH"))</f>
        <v>ok</v>
      </c>
      <c r="I33" s="73" t="n">
        <v>28000</v>
      </c>
      <c r="J33" s="16" t="s">
        <v>643</v>
      </c>
      <c r="L33" s="38" t="s">
        <v>187</v>
      </c>
    </row>
    <row r="34" customFormat="false" ht="15" hidden="false" customHeight="true" outlineLevel="0" collapsed="false">
      <c r="B34" s="66" t="s">
        <v>304</v>
      </c>
      <c r="C34" s="14" t="s">
        <v>600</v>
      </c>
      <c r="D34" s="14"/>
      <c r="E34" s="69" t="s">
        <v>644</v>
      </c>
      <c r="F34" s="70" t="n">
        <f aca="false">IF($E34="","",IFERROR(LOOKUP(VALUE(LEFT($E34&amp;"",FIND("-",$E34&amp;"-")-1)),$C$47:$C$55,$D$47:$D$55),""))</f>
        <v>0</v>
      </c>
      <c r="G34" s="71" t="n">
        <v>0</v>
      </c>
      <c r="H34" s="72" t="str">
        <f aca="false">IF($G34="","n/a",IF($F34=$G34,"ok","MISMATCH"))</f>
        <v>ok</v>
      </c>
      <c r="I34" s="73" t="n">
        <v>30000</v>
      </c>
      <c r="J34" s="16" t="s">
        <v>645</v>
      </c>
      <c r="L34" s="38" t="s">
        <v>304</v>
      </c>
    </row>
    <row r="35" customFormat="false" ht="15" hidden="false" customHeight="true" outlineLevel="0" collapsed="false">
      <c r="B35" s="66" t="s">
        <v>210</v>
      </c>
      <c r="C35" s="14" t="s">
        <v>596</v>
      </c>
      <c r="D35" s="14"/>
      <c r="E35" s="69" t="s">
        <v>646</v>
      </c>
      <c r="F35" s="70" t="n">
        <f aca="false">IF($E35="","",IFERROR(LOOKUP(VALUE(LEFT($E35&amp;"",FIND("-",$E35&amp;"-")-1)),$C$47:$C$55,$D$47:$D$55),""))</f>
        <v>0</v>
      </c>
      <c r="G35" s="71" t="n">
        <v>0</v>
      </c>
      <c r="H35" s="72" t="str">
        <f aca="false">IF($G35="","n/a",IF($F35=$G35,"ok","MISMATCH"))</f>
        <v>ok</v>
      </c>
      <c r="I35" s="73" t="n">
        <v>27000</v>
      </c>
      <c r="J35" s="16" t="s">
        <v>647</v>
      </c>
      <c r="L35" s="38" t="s">
        <v>210</v>
      </c>
    </row>
    <row r="36" customFormat="false" ht="15" hidden="false" customHeight="true" outlineLevel="0" collapsed="false">
      <c r="B36" s="66" t="s">
        <v>648</v>
      </c>
      <c r="C36" s="14" t="s">
        <v>613</v>
      </c>
      <c r="D36" s="14"/>
      <c r="E36" s="69" t="s">
        <v>649</v>
      </c>
      <c r="F36" s="70" t="n">
        <f aca="false">IF($E36="","",IFERROR(LOOKUP(VALUE(LEFT($E36&amp;"",FIND("-",$E36&amp;"-")-1)),$C$47:$C$55,$D$47:$D$55),""))</f>
        <v>0</v>
      </c>
      <c r="G36" s="71"/>
      <c r="H36" s="72" t="str">
        <f aca="false">IF($G36="","n/a",IF($F36=$G36,"ok","MISMATCH"))</f>
        <v>n/a</v>
      </c>
      <c r="I36" s="73" t="n">
        <v>27000</v>
      </c>
      <c r="J36" s="16" t="s">
        <v>650</v>
      </c>
      <c r="L36" s="38" t="s">
        <v>648</v>
      </c>
    </row>
    <row r="37" customFormat="false" ht="15" hidden="false" customHeight="true" outlineLevel="0" collapsed="false">
      <c r="B37" s="66" t="s">
        <v>651</v>
      </c>
      <c r="C37" s="14" t="s">
        <v>652</v>
      </c>
      <c r="D37" s="14"/>
      <c r="E37" s="69" t="s">
        <v>653</v>
      </c>
      <c r="F37" s="70" t="n">
        <f aca="false">IF($E37="","",IFERROR(LOOKUP(VALUE(LEFT($E37&amp;"",FIND("-",$E37&amp;"-")-1)),$C$47:$C$55,$D$47:$D$55),""))</f>
        <v>0</v>
      </c>
      <c r="G37" s="71"/>
      <c r="H37" s="72" t="str">
        <f aca="false">IF($G37="","n/a",IF($F37=$G37,"ok","MISMATCH"))</f>
        <v>n/a</v>
      </c>
      <c r="I37" s="73" t="n">
        <v>21000</v>
      </c>
      <c r="J37" s="16" t="s">
        <v>654</v>
      </c>
      <c r="L37" s="38" t="s">
        <v>651</v>
      </c>
    </row>
    <row r="38" customFormat="false" ht="15" hidden="false" customHeight="true" outlineLevel="0" collapsed="false">
      <c r="B38" s="66" t="s">
        <v>655</v>
      </c>
      <c r="C38" s="14" t="s">
        <v>613</v>
      </c>
      <c r="D38" s="14"/>
      <c r="E38" s="69" t="s">
        <v>653</v>
      </c>
      <c r="F38" s="70" t="n">
        <f aca="false">IF($E38="","",IFERROR(LOOKUP(VALUE(LEFT($E38&amp;"",FIND("-",$E38&amp;"-")-1)),$C$47:$C$55,$D$47:$D$55),""))</f>
        <v>0</v>
      </c>
      <c r="G38" s="71"/>
      <c r="H38" s="72" t="str">
        <f aca="false">IF($G38="","n/a",IF($F38=$G38,"ok","MISMATCH"))</f>
        <v>n/a</v>
      </c>
      <c r="I38" s="73" t="n">
        <v>21000</v>
      </c>
      <c r="J38" s="16" t="s">
        <v>615</v>
      </c>
      <c r="L38" s="38" t="s">
        <v>655</v>
      </c>
    </row>
    <row r="39" customFormat="false" ht="15" hidden="false" customHeight="true" outlineLevel="0" collapsed="false">
      <c r="B39" s="66" t="s">
        <v>656</v>
      </c>
      <c r="C39" s="14" t="s">
        <v>603</v>
      </c>
      <c r="D39" s="14"/>
      <c r="E39" s="69" t="s">
        <v>657</v>
      </c>
      <c r="F39" s="70" t="n">
        <f aca="false">IF($E39="","",IFERROR(LOOKUP(VALUE(LEFT($E39&amp;"",FIND("-",$E39&amp;"-")-1)),$C$47:$C$55,$D$47:$D$55),""))</f>
        <v>0</v>
      </c>
      <c r="G39" s="71"/>
      <c r="H39" s="72" t="str">
        <f aca="false">IF($G39="","n/a",IF($F39=$G39,"ok","MISMATCH"))</f>
        <v>n/a</v>
      </c>
      <c r="I39" s="73" t="n">
        <v>20500</v>
      </c>
      <c r="J39" s="16" t="s">
        <v>605</v>
      </c>
      <c r="L39" s="38" t="s">
        <v>656</v>
      </c>
    </row>
    <row r="40" customFormat="false" ht="15" hidden="false" customHeight="true" outlineLevel="0" collapsed="false">
      <c r="B40" s="66" t="s">
        <v>658</v>
      </c>
      <c r="C40" s="14" t="s">
        <v>598</v>
      </c>
      <c r="D40" s="14"/>
      <c r="E40" s="69" t="s">
        <v>657</v>
      </c>
      <c r="F40" s="70" t="n">
        <f aca="false">IF($E40="","",IFERROR(LOOKUP(VALUE(LEFT($E40&amp;"",FIND("-",$E40&amp;"-")-1)),$C$47:$C$55,$D$47:$D$55),""))</f>
        <v>0</v>
      </c>
      <c r="G40" s="71"/>
      <c r="H40" s="72" t="str">
        <f aca="false">IF($G40="","n/a",IF($F40=$G40,"ok","MISMATCH"))</f>
        <v>n/a</v>
      </c>
      <c r="I40" s="73" t="n">
        <v>20500</v>
      </c>
      <c r="J40" s="16" t="s">
        <v>599</v>
      </c>
      <c r="L40" s="38" t="s">
        <v>658</v>
      </c>
    </row>
    <row r="41" customFormat="false" ht="15" hidden="false" customHeight="true" outlineLevel="0" collapsed="false">
      <c r="B41" s="66" t="s">
        <v>659</v>
      </c>
      <c r="C41" s="14" t="s">
        <v>594</v>
      </c>
      <c r="D41" s="14"/>
      <c r="E41" s="69" t="s">
        <v>660</v>
      </c>
      <c r="F41" s="70" t="n">
        <f aca="false">IF($E41="","",IFERROR(LOOKUP(VALUE(LEFT($E41&amp;"",FIND("-",$E41&amp;"-")-1)),$C$47:$C$55,$D$47:$D$55),""))</f>
        <v>0</v>
      </c>
      <c r="G41" s="71"/>
      <c r="H41" s="72" t="str">
        <f aca="false">IF($G41="","n/a",IF($F41=$G41,"ok","MISMATCH"))</f>
        <v>n/a</v>
      </c>
      <c r="I41" s="73" t="n">
        <v>20000</v>
      </c>
      <c r="J41" s="16" t="s">
        <v>595</v>
      </c>
      <c r="L41" s="38" t="s">
        <v>659</v>
      </c>
    </row>
    <row r="42" customFormat="false" ht="15" hidden="false" customHeight="true" outlineLevel="0" collapsed="false">
      <c r="B42" s="66" t="s">
        <v>661</v>
      </c>
      <c r="C42" s="14" t="s">
        <v>662</v>
      </c>
      <c r="D42" s="14"/>
      <c r="E42" s="69" t="s">
        <v>660</v>
      </c>
      <c r="F42" s="70" t="n">
        <f aca="false">IF($E42="","",IFERROR(LOOKUP(VALUE(LEFT($E42&amp;"",FIND("-",$E42&amp;"-")-1)),$C$47:$C$55,$D$47:$D$55),""))</f>
        <v>0</v>
      </c>
      <c r="G42" s="71"/>
      <c r="H42" s="72" t="str">
        <f aca="false">IF($G42="","n/a",IF($F42=$G42,"ok","MISMATCH"))</f>
        <v>n/a</v>
      </c>
      <c r="I42" s="73" t="n">
        <v>20000</v>
      </c>
      <c r="J42" s="16" t="s">
        <v>663</v>
      </c>
      <c r="L42" s="38" t="s">
        <v>661</v>
      </c>
    </row>
    <row r="44" customFormat="false" ht="15" hidden="false" customHeight="true" outlineLevel="0" collapsed="false">
      <c r="B44" s="11" t="s">
        <v>459</v>
      </c>
      <c r="F44" s="77" t="n">
        <f aca="false">SUM(F11:F42)</f>
        <v>3050</v>
      </c>
    </row>
    <row r="45" customFormat="false" ht="15" hidden="false" customHeight="true" outlineLevel="0" collapsed="false">
      <c r="B45" s="11" t="s">
        <v>461</v>
      </c>
    </row>
    <row r="46" customFormat="false" ht="15" hidden="false" customHeight="true" outlineLevel="0" collapsed="false">
      <c r="B46" s="4" t="s">
        <v>664</v>
      </c>
      <c r="C46" s="4" t="s">
        <v>464</v>
      </c>
      <c r="CU46" s="4"/>
    </row>
    <row r="47" customFormat="false" ht="15" hidden="false" customHeight="true" outlineLevel="0" collapsed="false">
      <c r="C47" s="13" t="n">
        <v>1</v>
      </c>
      <c r="D47" s="79" t="n">
        <v>1000</v>
      </c>
      <c r="E47" s="80"/>
    </row>
    <row r="48" customFormat="false" ht="15" hidden="false" customHeight="true" outlineLevel="0" collapsed="false">
      <c r="C48" s="13" t="n">
        <v>2</v>
      </c>
      <c r="D48" s="79" t="n">
        <v>750</v>
      </c>
      <c r="E48" s="80"/>
    </row>
    <row r="49" customFormat="false" ht="15" hidden="false" customHeight="true" outlineLevel="0" collapsed="false">
      <c r="C49" s="13" t="n">
        <v>3</v>
      </c>
      <c r="D49" s="79" t="n">
        <v>500</v>
      </c>
      <c r="E49" s="80"/>
    </row>
    <row r="50" customFormat="false" ht="15" hidden="false" customHeight="true" outlineLevel="0" collapsed="false">
      <c r="C50" s="13" t="n">
        <v>4</v>
      </c>
      <c r="D50" s="79" t="n">
        <v>300</v>
      </c>
      <c r="E50" s="80"/>
    </row>
    <row r="51" customFormat="false" ht="15" hidden="false" customHeight="true" outlineLevel="0" collapsed="false">
      <c r="C51" s="13" t="n">
        <v>5</v>
      </c>
      <c r="D51" s="79" t="n">
        <v>200</v>
      </c>
      <c r="E51" s="80"/>
    </row>
    <row r="52" customFormat="false" ht="15" hidden="false" customHeight="true" outlineLevel="0" collapsed="false">
      <c r="C52" s="13" t="n">
        <v>6</v>
      </c>
      <c r="D52" s="79" t="n">
        <v>150</v>
      </c>
      <c r="E52" s="80"/>
    </row>
    <row r="53" customFormat="false" ht="15" hidden="false" customHeight="true" outlineLevel="0" collapsed="false">
      <c r="C53" s="13" t="n">
        <v>7</v>
      </c>
      <c r="D53" s="79" t="n">
        <v>100</v>
      </c>
      <c r="E53" s="80"/>
    </row>
    <row r="54" customFormat="false" ht="15" hidden="false" customHeight="true" outlineLevel="0" collapsed="false">
      <c r="C54" s="13" t="n">
        <v>8</v>
      </c>
      <c r="D54" s="79" t="n">
        <v>50</v>
      </c>
      <c r="E54" s="80"/>
    </row>
    <row r="55" customFormat="false" ht="15" hidden="false" customHeight="true" outlineLevel="0" collapsed="false">
      <c r="C55" s="13" t="n">
        <v>9</v>
      </c>
      <c r="D55" s="79" t="n">
        <v>0</v>
      </c>
      <c r="E55" s="80" t="s">
        <v>665</v>
      </c>
    </row>
    <row r="58" customFormat="false" ht="15" hidden="false" customHeight="true" outlineLevel="0" collapsed="false">
      <c r="B58" s="11" t="s">
        <v>666</v>
      </c>
    </row>
    <row r="59" customFormat="false" ht="15" hidden="false" customHeight="true" outlineLevel="0" collapsed="false">
      <c r="B59" s="3" t="s">
        <v>667</v>
      </c>
      <c r="C59" s="3"/>
      <c r="D59" s="3"/>
      <c r="E59" s="3"/>
      <c r="F59" s="3"/>
      <c r="G59" s="3"/>
      <c r="H59" s="3"/>
      <c r="I59" s="3"/>
      <c r="J59" s="3"/>
    </row>
    <row r="60" customFormat="false" ht="15" hidden="false" customHeight="true" outlineLevel="0" collapsed="false">
      <c r="B60" s="3"/>
      <c r="C60" s="3"/>
      <c r="D60" s="3"/>
      <c r="E60" s="3"/>
      <c r="F60" s="3"/>
      <c r="G60" s="3"/>
      <c r="H60" s="3"/>
      <c r="I60" s="3"/>
      <c r="J60" s="3"/>
    </row>
    <row r="61" customFormat="false" ht="15" hidden="false" customHeight="true" outlineLevel="0" collapsed="false">
      <c r="B61" s="3"/>
      <c r="C61" s="3"/>
      <c r="D61" s="3"/>
      <c r="E61" s="3"/>
      <c r="F61" s="3"/>
      <c r="G61" s="3"/>
      <c r="H61" s="3"/>
      <c r="I61" s="3"/>
      <c r="J61" s="3"/>
    </row>
    <row r="62" customFormat="false" ht="15" hidden="false" customHeight="true" outlineLevel="0" collapsed="false">
      <c r="B62" s="3"/>
      <c r="C62" s="3"/>
      <c r="D62" s="3"/>
      <c r="E62" s="3"/>
      <c r="F62" s="3"/>
      <c r="G62" s="3"/>
      <c r="H62" s="3"/>
      <c r="I62" s="3"/>
      <c r="J62" s="3"/>
    </row>
    <row r="63" customFormat="false" ht="15" hidden="false" customHeight="true" outlineLevel="0" collapsed="false">
      <c r="B63" s="3"/>
      <c r="C63" s="3"/>
      <c r="D63" s="3"/>
      <c r="E63" s="3"/>
      <c r="F63" s="3"/>
      <c r="G63" s="3"/>
      <c r="H63" s="3"/>
      <c r="I63" s="3"/>
      <c r="J63" s="3"/>
    </row>
    <row r="65" customFormat="false" ht="23.25" hidden="false" customHeight="true" outlineLevel="0" collapsed="false">
      <c r="B65" s="4" t="s">
        <v>555</v>
      </c>
      <c r="C65" s="4" t="s">
        <v>668</v>
      </c>
      <c r="D65" s="4" t="s">
        <v>669</v>
      </c>
      <c r="E65" s="4" t="s">
        <v>670</v>
      </c>
    </row>
    <row r="66" customFormat="false" ht="15" hidden="false" customHeight="true" outlineLevel="0" collapsed="false">
      <c r="B66" s="81" t="s">
        <v>600</v>
      </c>
      <c r="C66" s="13" t="n">
        <f aca="false">COUNTIF($C$11:$C$42,$B66)</f>
        <v>5</v>
      </c>
      <c r="D66" s="13" t="n">
        <f aca="false">IFERROR(SUMPRODUCT(MAX(($C$11:$C$42=$B66)*$F$11:$F$42)),0)</f>
        <v>300</v>
      </c>
      <c r="E66" s="13" t="n">
        <f aca="false">SUMPRODUCT(($C$11:$C$42=$B66)*($F$11:$F$42&gt;0))</f>
        <v>2</v>
      </c>
    </row>
    <row r="67" customFormat="false" ht="15" hidden="false" customHeight="true" outlineLevel="0" collapsed="false">
      <c r="B67" s="81" t="s">
        <v>613</v>
      </c>
      <c r="C67" s="13" t="n">
        <f aca="false">COUNTIF($C$11:$C$42,$B67)</f>
        <v>5</v>
      </c>
      <c r="D67" s="13" t="n">
        <f aca="false">IFERROR(SUMPRODUCT(MAX(($C$11:$C$42=$B67)*$F$11:$F$42)),0)</f>
        <v>0</v>
      </c>
      <c r="E67" s="13" t="n">
        <f aca="false">SUMPRODUCT(($C$11:$C$42=$B67)*($F$11:$F$42&gt;0))</f>
        <v>0</v>
      </c>
    </row>
    <row r="68" customFormat="false" ht="15" hidden="false" customHeight="true" outlineLevel="0" collapsed="false">
      <c r="B68" s="81" t="s">
        <v>594</v>
      </c>
      <c r="C68" s="13" t="n">
        <f aca="false">COUNTIF($C$11:$C$42,$B68)</f>
        <v>4</v>
      </c>
      <c r="D68" s="13" t="n">
        <f aca="false">IFERROR(SUMPRODUCT(MAX(($C$11:$C$42=$B68)*$F$11:$F$42)),0)</f>
        <v>1000</v>
      </c>
      <c r="E68" s="13" t="n">
        <f aca="false">SUMPRODUCT(($C$11:$C$42=$B68)*($F$11:$F$42&gt;0))</f>
        <v>1</v>
      </c>
    </row>
    <row r="69" customFormat="false" ht="15" hidden="false" customHeight="true" outlineLevel="0" collapsed="false">
      <c r="B69" s="81" t="s">
        <v>598</v>
      </c>
      <c r="C69" s="13" t="n">
        <f aca="false">COUNTIF($C$11:$C$42,$B69)</f>
        <v>3</v>
      </c>
      <c r="D69" s="13" t="n">
        <f aca="false">IFERROR(SUMPRODUCT(MAX(($C$11:$C$42=$B69)*$F$11:$F$42)),0)</f>
        <v>500</v>
      </c>
      <c r="E69" s="13" t="n">
        <f aca="false">SUMPRODUCT(($C$11:$C$42=$B69)*($F$11:$F$42&gt;0))</f>
        <v>1</v>
      </c>
    </row>
    <row r="70" customFormat="false" ht="15" hidden="false" customHeight="true" outlineLevel="0" collapsed="false">
      <c r="B70" s="81" t="s">
        <v>603</v>
      </c>
      <c r="C70" s="13" t="n">
        <f aca="false">COUNTIF($C$11:$C$42,$B70)</f>
        <v>3</v>
      </c>
      <c r="D70" s="13" t="n">
        <f aca="false">IFERROR(SUMPRODUCT(MAX(($C$11:$C$42=$B70)*$F$11:$F$42)),0)</f>
        <v>200</v>
      </c>
      <c r="E70" s="13" t="n">
        <f aca="false">SUMPRODUCT(($C$11:$C$42=$B70)*($F$11:$F$42&gt;0))</f>
        <v>1</v>
      </c>
    </row>
    <row r="71" customFormat="false" ht="15" hidden="false" customHeight="true" outlineLevel="0" collapsed="false">
      <c r="B71" s="81" t="s">
        <v>616</v>
      </c>
      <c r="C71" s="13" t="n">
        <f aca="false">COUNTIF($C$11:$C$42,$B71)</f>
        <v>3</v>
      </c>
      <c r="D71" s="13" t="n">
        <f aca="false">IFERROR(SUMPRODUCT(MAX(($C$11:$C$42=$B71)*$F$11:$F$42)),0)</f>
        <v>0</v>
      </c>
      <c r="E71" s="13" t="n">
        <f aca="false">SUMPRODUCT(($C$11:$C$42=$B71)*($F$11:$F$42&gt;0))</f>
        <v>0</v>
      </c>
    </row>
    <row r="72" customFormat="false" ht="15" hidden="false" customHeight="true" outlineLevel="0" collapsed="false">
      <c r="B72" s="81" t="s">
        <v>596</v>
      </c>
      <c r="C72" s="13" t="n">
        <f aca="false">COUNTIF($C$11:$C$42,$B72)</f>
        <v>2</v>
      </c>
      <c r="D72" s="13" t="n">
        <f aca="false">IFERROR(SUMPRODUCT(MAX(($C$11:$C$42=$B72)*$F$11:$F$42)),0)</f>
        <v>750</v>
      </c>
      <c r="E72" s="13" t="n">
        <f aca="false">SUMPRODUCT(($C$11:$C$42=$B72)*($F$11:$F$42&gt;0))</f>
        <v>1</v>
      </c>
    </row>
    <row r="73" customFormat="false" ht="15" hidden="false" customHeight="true" outlineLevel="0" collapsed="false">
      <c r="B73" s="81" t="s">
        <v>607</v>
      </c>
      <c r="C73" s="13" t="n">
        <f aca="false">COUNTIF($C$11:$C$42,$B73)</f>
        <v>2</v>
      </c>
      <c r="D73" s="13" t="n">
        <f aca="false">IFERROR(SUMPRODUCT(MAX(($C$11:$C$42=$B73)*$F$11:$F$42)),0)</f>
        <v>150</v>
      </c>
      <c r="E73" s="13" t="n">
        <f aca="false">SUMPRODUCT(($C$11:$C$42=$B73)*($F$11:$F$42&gt;0))</f>
        <v>2</v>
      </c>
    </row>
    <row r="74" customFormat="false" ht="15" hidden="false" customHeight="true" outlineLevel="0" collapsed="false">
      <c r="B74" s="81" t="s">
        <v>623</v>
      </c>
      <c r="C74" s="13" t="n">
        <f aca="false">COUNTIF($C$11:$C$42,$B74)</f>
        <v>2</v>
      </c>
      <c r="D74" s="13" t="n">
        <f aca="false">IFERROR(SUMPRODUCT(MAX(($C$11:$C$42=$B74)*$F$11:$F$42)),0)</f>
        <v>0</v>
      </c>
      <c r="E74" s="13" t="n">
        <f aca="false">SUMPRODUCT(($C$11:$C$42=$B74)*($F$11:$F$42&gt;0))</f>
        <v>0</v>
      </c>
    </row>
    <row r="75" customFormat="false" ht="15" hidden="false" customHeight="true" outlineLevel="0" collapsed="false">
      <c r="B75" s="81" t="s">
        <v>638</v>
      </c>
      <c r="C75" s="13" t="n">
        <f aca="false">COUNTIF($C$11:$C$42,$B75)</f>
        <v>1</v>
      </c>
      <c r="D75" s="13" t="n">
        <f aca="false">IFERROR(SUMPRODUCT(MAX(($C$11:$C$42=$B75)*$F$11:$F$42)),0)</f>
        <v>0</v>
      </c>
      <c r="E75" s="13" t="n">
        <f aca="false">SUMPRODUCT(($C$11:$C$42=$B75)*($F$11:$F$42&gt;0))</f>
        <v>0</v>
      </c>
    </row>
    <row r="76" customFormat="false" ht="15" hidden="false" customHeight="true" outlineLevel="0" collapsed="false">
      <c r="B76" s="81" t="s">
        <v>652</v>
      </c>
      <c r="C76" s="13" t="n">
        <f aca="false">COUNTIF($C$11:$C$42,$B76)</f>
        <v>1</v>
      </c>
      <c r="D76" s="13" t="n">
        <f aca="false">IFERROR(SUMPRODUCT(MAX(($C$11:$C$42=$B76)*$F$11:$F$42)),0)</f>
        <v>0</v>
      </c>
      <c r="E76" s="13" t="n">
        <f aca="false">SUMPRODUCT(($C$11:$C$42=$B76)*($F$11:$F$42&gt;0))</f>
        <v>0</v>
      </c>
    </row>
    <row r="77" customFormat="false" ht="15" hidden="false" customHeight="true" outlineLevel="0" collapsed="false">
      <c r="B77" s="81" t="s">
        <v>662</v>
      </c>
      <c r="C77" s="13" t="n">
        <f aca="false">COUNTIF($C$11:$C$42,$B77)</f>
        <v>1</v>
      </c>
      <c r="D77" s="13" t="n">
        <f aca="false">IFERROR(SUMPRODUCT(MAX(($C$11:$C$42=$B77)*$F$11:$F$42)),0)</f>
        <v>0</v>
      </c>
      <c r="E77" s="13" t="n">
        <f aca="false">SUMPRODUCT(($C$11:$C$42=$B77)*($F$11:$F$42&gt;0))</f>
        <v>0</v>
      </c>
    </row>
    <row r="79" customFormat="false" ht="15" hidden="false" customHeight="true" outlineLevel="0" collapsed="false">
      <c r="B79" s="18" t="s">
        <v>671</v>
      </c>
    </row>
  </sheetData>
  <sheetProtection sheet="true" formatCells="false" selectLockedCells="true" selectUnlockedCells="true"/>
  <mergeCells count="1">
    <mergeCell ref="B59:J63"/>
  </mergeCells>
  <dataValidations count="2">
    <dataValidation allowBlank="true" error="Pick a placement from the list — free text breaks the points lookup." errorStyle="stop" errorTitle="Use the dropdown" operator="between" showDropDown="false" showErrorMessage="false" showInputMessage="false" sqref="E11:E42" type="list">
      <formula1>"1,2,3,4,5,6,7,8,9,10,11,12,13,14,15,16,17,18,19,20,21,22,23,24,25,26,27-28,29-30,31-32"</formula1>
      <formula2>0</formula2>
    </dataValidation>
    <dataValidation allowBlank="true" errorStyle="stop" operator="between" showDropDown="false" showErrorMessage="false" showInputMessage="false" sqref="C11:C42" type="list">
      <formula1>"SEA,MENA,Türkiye,EECA,China,Americas,Korea,South Asia,India,Japan,Africa,W. Europe,Other"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0" topLeftCell="D11" activePane="bottomRight" state="frozen"/>
      <selection pane="topLeft" activeCell="A1" activeCellId="0" sqref="A1"/>
      <selection pane="topRight" activeCell="D1" activeCellId="0" sqref="D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3" min="2" style="1" width="22"/>
    <col collapsed="false" customWidth="true" hidden="false" outlineLevel="0" max="4" min="4" style="1" width="9"/>
    <col collapsed="false" customWidth="true" hidden="false" outlineLevel="0" max="5" min="5" style="1" width="11"/>
    <col collapsed="false" customWidth="true" hidden="false" outlineLevel="0" max="6" min="6" style="1" width="12"/>
    <col collapsed="false" customWidth="true" hidden="false" outlineLevel="0" max="7" min="7" style="1" width="15"/>
    <col collapsed="false" customWidth="true" hidden="false" outlineLevel="0" max="8" min="8" style="1" width="10"/>
    <col collapsed="false" customWidth="true" hidden="false" outlineLevel="0" max="9" min="9" style="1" width="12"/>
    <col collapsed="false" customWidth="true" hidden="false" outlineLevel="0" max="10" min="10" style="1" width="46"/>
  </cols>
  <sheetData>
    <row r="2" customFormat="false" ht="18" hidden="false" customHeight="true" outlineLevel="0" collapsed="false">
      <c r="B2" s="2" t="s">
        <v>672</v>
      </c>
    </row>
    <row r="3" customFormat="false" ht="15" hidden="false" customHeight="true" outlineLevel="0" collapsed="false">
      <c r="B3" s="18" t="s">
        <v>673</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674</v>
      </c>
      <c r="D6" s="28" t="s">
        <v>675</v>
      </c>
      <c r="F6" s="28" t="s">
        <v>676</v>
      </c>
      <c r="H6" s="28" t="s">
        <v>677</v>
      </c>
      <c r="J6" s="28" t="s">
        <v>678</v>
      </c>
      <c r="L6" s="28" t="s">
        <v>679</v>
      </c>
    </row>
    <row r="8" customFormat="false" ht="15" hidden="false" customHeight="true" outlineLevel="0" collapsed="false">
      <c r="B8" s="11" t="s">
        <v>416</v>
      </c>
    </row>
    <row r="9" customFormat="false" ht="15" hidden="false" customHeight="true" outlineLevel="0" collapsed="false">
      <c r="B9" s="18" t="s">
        <v>680</v>
      </c>
    </row>
    <row r="10" customFormat="false" ht="34.5" hidden="false" customHeight="true" outlineLevel="0" collapsed="false">
      <c r="B10" s="4" t="s">
        <v>418</v>
      </c>
      <c r="C10" s="4" t="s">
        <v>681</v>
      </c>
      <c r="D10" s="4" t="s">
        <v>682</v>
      </c>
      <c r="E10" s="4" t="s">
        <v>421</v>
      </c>
      <c r="F10" s="4" t="s">
        <v>422</v>
      </c>
      <c r="G10" s="4" t="s">
        <v>423</v>
      </c>
      <c r="H10" s="4" t="s">
        <v>424</v>
      </c>
      <c r="I10" s="4" t="s">
        <v>425</v>
      </c>
      <c r="J10" s="4" t="s">
        <v>41</v>
      </c>
      <c r="L10" s="4" t="s">
        <v>426</v>
      </c>
    </row>
    <row r="11" customFormat="false" ht="15" hidden="false" customHeight="true" outlineLevel="0" collapsed="false">
      <c r="B11" s="117" t="s">
        <v>273</v>
      </c>
      <c r="C11" s="29" t="s">
        <v>683</v>
      </c>
      <c r="D11" s="14" t="s">
        <v>684</v>
      </c>
      <c r="E11" s="32" t="s">
        <v>427</v>
      </c>
      <c r="F11" s="33" t="n">
        <f aca="false">IF($E11="","",IFERROR(LOOKUP(VALUE(LEFT($E11&amp;"",FIND("-",$E11&amp;"-")-1)),$C$57:$C$65,$D$57:$D$65),""))</f>
        <v>1000</v>
      </c>
      <c r="G11" s="34" t="n">
        <v>1000</v>
      </c>
      <c r="H11" s="35" t="str">
        <f aca="false">IF($G11="","n/a",IF($F11=$G11,"ok","MISMATCH"))</f>
        <v>ok</v>
      </c>
      <c r="I11" s="36" t="n">
        <v>260000</v>
      </c>
      <c r="J11" s="85"/>
      <c r="L11" s="38" t="s">
        <v>273</v>
      </c>
    </row>
    <row r="12" customFormat="false" ht="15" hidden="false" customHeight="true" outlineLevel="0" collapsed="false">
      <c r="B12" s="118" t="s">
        <v>685</v>
      </c>
      <c r="C12" s="39" t="s">
        <v>686</v>
      </c>
      <c r="D12" s="14" t="s">
        <v>684</v>
      </c>
      <c r="E12" s="42" t="s">
        <v>428</v>
      </c>
      <c r="F12" s="43" t="n">
        <f aca="false">IF($E12="","",IFERROR(LOOKUP(VALUE(LEFT($E12&amp;"",FIND("-",$E12&amp;"-")-1)),$C$57:$C$65,$D$57:$D$65),""))</f>
        <v>750</v>
      </c>
      <c r="G12" s="44"/>
      <c r="H12" s="45" t="str">
        <f aca="false">IF($G12="","n/a",IF($F12=$G12,"ok","MISMATCH"))</f>
        <v>n/a</v>
      </c>
      <c r="I12" s="46" t="n">
        <v>150000</v>
      </c>
      <c r="J12" s="87" t="s">
        <v>687</v>
      </c>
      <c r="L12" s="38" t="s">
        <v>685</v>
      </c>
    </row>
    <row r="13" customFormat="false" ht="15" hidden="false" customHeight="true" outlineLevel="0" collapsed="false">
      <c r="B13" s="119" t="s">
        <v>157</v>
      </c>
      <c r="C13" s="48" t="s">
        <v>688</v>
      </c>
      <c r="D13" s="14" t="s">
        <v>684</v>
      </c>
      <c r="E13" s="51" t="s">
        <v>430</v>
      </c>
      <c r="F13" s="52" t="n">
        <f aca="false">IF($E13="","",IFERROR(LOOKUP(VALUE(LEFT($E13&amp;"",FIND("-",$E13&amp;"-")-1)),$C$57:$C$65,$D$57:$D$65),""))</f>
        <v>500</v>
      </c>
      <c r="G13" s="53" t="n">
        <v>500</v>
      </c>
      <c r="H13" s="54" t="str">
        <f aca="false">IF($G13="","n/a",IF($F13=$G13,"ok","MISMATCH"))</f>
        <v>ok</v>
      </c>
      <c r="I13" s="55" t="n">
        <v>90000</v>
      </c>
      <c r="J13" s="89"/>
      <c r="L13" s="38" t="s">
        <v>157</v>
      </c>
    </row>
    <row r="14" customFormat="false" ht="15" hidden="false" customHeight="true" outlineLevel="0" collapsed="false">
      <c r="B14" s="120" t="s">
        <v>689</v>
      </c>
      <c r="C14" s="57" t="s">
        <v>690</v>
      </c>
      <c r="D14" s="14" t="s">
        <v>684</v>
      </c>
      <c r="E14" s="60" t="s">
        <v>431</v>
      </c>
      <c r="F14" s="61" t="n">
        <f aca="false">IF($E14="","",IFERROR(LOOKUP(VALUE(LEFT($E14&amp;"",FIND("-",$E14&amp;"-")-1)),$C$57:$C$65,$D$57:$D$65),""))</f>
        <v>300</v>
      </c>
      <c r="G14" s="62"/>
      <c r="H14" s="63" t="str">
        <f aca="false">IF($G14="","n/a",IF($F14=$G14,"ok","MISMATCH"))</f>
        <v>n/a</v>
      </c>
      <c r="I14" s="64" t="n">
        <v>60000</v>
      </c>
      <c r="J14" s="91" t="s">
        <v>691</v>
      </c>
      <c r="L14" s="76" t="s">
        <v>689</v>
      </c>
    </row>
    <row r="15" customFormat="false" ht="15" hidden="false" customHeight="true" outlineLevel="0" collapsed="false">
      <c r="B15" s="120" t="s">
        <v>191</v>
      </c>
      <c r="C15" s="57" t="s">
        <v>692</v>
      </c>
      <c r="D15" s="14" t="s">
        <v>684</v>
      </c>
      <c r="E15" s="60" t="s">
        <v>604</v>
      </c>
      <c r="F15" s="61" t="n">
        <f aca="false">IF($E15="","",IFERROR(LOOKUP(VALUE(LEFT($E15&amp;"",FIND("-",$E15&amp;"-")-1)),$C$57:$C$65,$D$57:$D$65),""))</f>
        <v>200</v>
      </c>
      <c r="G15" s="62" t="n">
        <v>200</v>
      </c>
      <c r="H15" s="63" t="str">
        <f aca="false">IF($G15="","n/a",IF($F15=$G15,"ok","MISMATCH"))</f>
        <v>ok</v>
      </c>
      <c r="I15" s="64" t="n">
        <v>45000</v>
      </c>
      <c r="J15" s="91"/>
      <c r="L15" s="38" t="s">
        <v>191</v>
      </c>
    </row>
    <row r="16" customFormat="false" ht="15" hidden="false" customHeight="true" outlineLevel="0" collapsed="false">
      <c r="B16" s="120" t="s">
        <v>204</v>
      </c>
      <c r="C16" s="57" t="s">
        <v>693</v>
      </c>
      <c r="D16" s="14" t="s">
        <v>684</v>
      </c>
      <c r="E16" s="60" t="s">
        <v>608</v>
      </c>
      <c r="F16" s="61" t="n">
        <f aca="false">IF($E16="","",IFERROR(LOOKUP(VALUE(LEFT($E16&amp;"",FIND("-",$E16&amp;"-")-1)),$C$57:$C$65,$D$57:$D$65),""))</f>
        <v>150</v>
      </c>
      <c r="G16" s="62" t="n">
        <v>150</v>
      </c>
      <c r="H16" s="63" t="str">
        <f aca="false">IF($G16="","n/a",IF($F16=$G16,"ok","MISMATCH"))</f>
        <v>ok</v>
      </c>
      <c r="I16" s="64" t="n">
        <v>35000</v>
      </c>
      <c r="J16" s="91"/>
      <c r="L16" s="38" t="s">
        <v>204</v>
      </c>
    </row>
    <row r="17" customFormat="false" ht="15" hidden="false" customHeight="true" outlineLevel="0" collapsed="false">
      <c r="B17" s="120" t="s">
        <v>312</v>
      </c>
      <c r="C17" s="57" t="s">
        <v>694</v>
      </c>
      <c r="D17" s="14" t="s">
        <v>684</v>
      </c>
      <c r="E17" s="60" t="s">
        <v>611</v>
      </c>
      <c r="F17" s="61" t="n">
        <f aca="false">IF($E17="","",IFERROR(LOOKUP(VALUE(LEFT($E17&amp;"",FIND("-",$E17&amp;"-")-1)),$C$57:$C$65,$D$57:$D$65),""))</f>
        <v>100</v>
      </c>
      <c r="G17" s="62" t="n">
        <v>100</v>
      </c>
      <c r="H17" s="63" t="str">
        <f aca="false">IF($G17="","n/a",IF($F17=$G17,"ok","MISMATCH"))</f>
        <v>ok</v>
      </c>
      <c r="I17" s="64" t="n">
        <v>30000</v>
      </c>
      <c r="J17" s="91"/>
      <c r="L17" s="38" t="s">
        <v>312</v>
      </c>
    </row>
    <row r="18" customFormat="false" ht="15" hidden="false" customHeight="true" outlineLevel="0" collapsed="false">
      <c r="B18" s="120" t="s">
        <v>173</v>
      </c>
      <c r="C18" s="57" t="s">
        <v>695</v>
      </c>
      <c r="D18" s="14" t="s">
        <v>684</v>
      </c>
      <c r="E18" s="60" t="s">
        <v>612</v>
      </c>
      <c r="F18" s="61" t="n">
        <f aca="false">IF($E18="","",IFERROR(LOOKUP(VALUE(LEFT($E18&amp;"",FIND("-",$E18&amp;"-")-1)),$C$57:$C$65,$D$57:$D$65),""))</f>
        <v>50</v>
      </c>
      <c r="G18" s="62" t="n">
        <v>50</v>
      </c>
      <c r="H18" s="63" t="str">
        <f aca="false">IF($G18="","n/a",IF($F18=$G18,"ok","MISMATCH"))</f>
        <v>ok</v>
      </c>
      <c r="I18" s="64" t="n">
        <v>28000</v>
      </c>
      <c r="J18" s="91"/>
      <c r="L18" s="38" t="s">
        <v>173</v>
      </c>
    </row>
    <row r="19" customFormat="false" ht="15" hidden="false" customHeight="true" outlineLevel="0" collapsed="false">
      <c r="B19" s="121" t="s">
        <v>131</v>
      </c>
      <c r="C19" s="66" t="s">
        <v>696</v>
      </c>
      <c r="D19" s="14" t="s">
        <v>684</v>
      </c>
      <c r="E19" s="69" t="s">
        <v>614</v>
      </c>
      <c r="F19" s="70" t="n">
        <f aca="false">IF($E19="","",IFERROR(LOOKUP(VALUE(LEFT($E19&amp;"",FIND("-",$E19&amp;"-")-1)),$C$57:$C$65,$D$57:$D$65),""))</f>
        <v>0</v>
      </c>
      <c r="G19" s="71" t="n">
        <v>0</v>
      </c>
      <c r="H19" s="72" t="str">
        <f aca="false">IF($G19="","n/a",IF($F19=$G19,"ok","MISMATCH"))</f>
        <v>ok</v>
      </c>
      <c r="I19" s="73" t="n">
        <v>26000</v>
      </c>
      <c r="J19" s="16"/>
      <c r="L19" s="38" t="s">
        <v>131</v>
      </c>
    </row>
    <row r="20" customFormat="false" ht="15" hidden="false" customHeight="true" outlineLevel="0" collapsed="false">
      <c r="B20" s="121" t="s">
        <v>179</v>
      </c>
      <c r="C20" s="66" t="s">
        <v>697</v>
      </c>
      <c r="D20" s="14" t="s">
        <v>684</v>
      </c>
      <c r="E20" s="69" t="s">
        <v>617</v>
      </c>
      <c r="F20" s="70" t="n">
        <f aca="false">IF($E20="","",IFERROR(LOOKUP(VALUE(LEFT($E20&amp;"",FIND("-",$E20&amp;"-")-1)),$C$57:$C$65,$D$57:$D$65),""))</f>
        <v>0</v>
      </c>
      <c r="G20" s="71"/>
      <c r="H20" s="72" t="str">
        <f aca="false">IF($G20="","n/a",IF($F20=$G20,"ok","MISMATCH"))</f>
        <v>n/a</v>
      </c>
      <c r="I20" s="73" t="n">
        <v>24000</v>
      </c>
      <c r="J20" s="16"/>
      <c r="L20" s="76" t="s">
        <v>178</v>
      </c>
    </row>
    <row r="21" customFormat="false" ht="15" hidden="false" customHeight="true" outlineLevel="0" collapsed="false">
      <c r="B21" s="121" t="s">
        <v>127</v>
      </c>
      <c r="C21" s="66" t="s">
        <v>698</v>
      </c>
      <c r="D21" s="14" t="s">
        <v>684</v>
      </c>
      <c r="E21" s="69" t="s">
        <v>620</v>
      </c>
      <c r="F21" s="70" t="n">
        <f aca="false">IF($E21="","",IFERROR(LOOKUP(VALUE(LEFT($E21&amp;"",FIND("-",$E21&amp;"-")-1)),$C$57:$C$65,$D$57:$D$65),""))</f>
        <v>0</v>
      </c>
      <c r="G21" s="71" t="n">
        <v>0</v>
      </c>
      <c r="H21" s="72" t="str">
        <f aca="false">IF($G21="","n/a",IF($F21=$G21,"ok","MISMATCH"))</f>
        <v>ok</v>
      </c>
      <c r="I21" s="73" t="n">
        <v>22000</v>
      </c>
      <c r="J21" s="16"/>
      <c r="L21" s="38" t="s">
        <v>127</v>
      </c>
    </row>
    <row r="22" customFormat="false" ht="15" hidden="false" customHeight="true" outlineLevel="0" collapsed="false">
      <c r="B22" s="121" t="s">
        <v>114</v>
      </c>
      <c r="C22" s="66" t="s">
        <v>699</v>
      </c>
      <c r="D22" s="14" t="s">
        <v>684</v>
      </c>
      <c r="E22" s="69" t="s">
        <v>621</v>
      </c>
      <c r="F22" s="70" t="n">
        <f aca="false">IF($E22="","",IFERROR(LOOKUP(VALUE(LEFT($E22&amp;"",FIND("-",$E22&amp;"-")-1)),$C$57:$C$65,$D$57:$D$65),""))</f>
        <v>0</v>
      </c>
      <c r="G22" s="71" t="n">
        <v>0</v>
      </c>
      <c r="H22" s="72" t="str">
        <f aca="false">IF($G22="","n/a",IF($F22=$G22,"ok","MISMATCH"))</f>
        <v>ok</v>
      </c>
      <c r="I22" s="73" t="n">
        <v>20000</v>
      </c>
      <c r="J22" s="16"/>
      <c r="L22" s="38" t="s">
        <v>114</v>
      </c>
    </row>
    <row r="23" customFormat="false" ht="15" hidden="false" customHeight="true" outlineLevel="0" collapsed="false">
      <c r="B23" s="121" t="s">
        <v>119</v>
      </c>
      <c r="C23" s="66" t="s">
        <v>700</v>
      </c>
      <c r="D23" s="14" t="s">
        <v>684</v>
      </c>
      <c r="E23" s="69" t="s">
        <v>624</v>
      </c>
      <c r="F23" s="70" t="n">
        <f aca="false">IF($E23="","",IFERROR(LOOKUP(VALUE(LEFT($E23&amp;"",FIND("-",$E23&amp;"-")-1)),$C$57:$C$65,$D$57:$D$65),""))</f>
        <v>0</v>
      </c>
      <c r="G23" s="71" t="n">
        <v>0</v>
      </c>
      <c r="H23" s="72" t="str">
        <f aca="false">IF($G23="","n/a",IF($F23=$G23,"ok","MISMATCH"))</f>
        <v>ok</v>
      </c>
      <c r="I23" s="73" t="n">
        <v>18000</v>
      </c>
      <c r="J23" s="16"/>
      <c r="L23" s="38" t="s">
        <v>119</v>
      </c>
    </row>
    <row r="24" customFormat="false" ht="15" hidden="false" customHeight="true" outlineLevel="0" collapsed="false">
      <c r="B24" s="121" t="s">
        <v>316</v>
      </c>
      <c r="C24" s="66" t="s">
        <v>701</v>
      </c>
      <c r="D24" s="14" t="s">
        <v>684</v>
      </c>
      <c r="E24" s="69" t="s">
        <v>627</v>
      </c>
      <c r="F24" s="70" t="n">
        <f aca="false">IF($E24="","",IFERROR(LOOKUP(VALUE(LEFT($E24&amp;"",FIND("-",$E24&amp;"-")-1)),$C$57:$C$65,$D$57:$D$65),""))</f>
        <v>0</v>
      </c>
      <c r="G24" s="71" t="n">
        <v>0</v>
      </c>
      <c r="H24" s="72" t="str">
        <f aca="false">IF($G24="","n/a",IF($F24=$G24,"ok","MISMATCH"))</f>
        <v>ok</v>
      </c>
      <c r="I24" s="73" t="n">
        <v>16000</v>
      </c>
      <c r="J24" s="16"/>
      <c r="L24" s="38" t="s">
        <v>316</v>
      </c>
    </row>
    <row r="25" customFormat="false" ht="15" hidden="false" customHeight="true" outlineLevel="0" collapsed="false">
      <c r="B25" s="122" t="s">
        <v>685</v>
      </c>
      <c r="C25" s="66" t="s">
        <v>702</v>
      </c>
      <c r="D25" s="14" t="s">
        <v>684</v>
      </c>
      <c r="E25" s="69" t="s">
        <v>629</v>
      </c>
      <c r="F25" s="70" t="n">
        <f aca="false">IF($E25="","",IFERROR(LOOKUP(VALUE(LEFT($E25&amp;"",FIND("-",$E25&amp;"-")-1)),$C$57:$C$65,$D$57:$D$65),""))</f>
        <v>0</v>
      </c>
      <c r="G25" s="71"/>
      <c r="H25" s="72" t="str">
        <f aca="false">IF($G25="","n/a",IF($F25=$G25,"ok","MISMATCH"))</f>
        <v>n/a</v>
      </c>
      <c r="I25" s="73" t="n">
        <v>15000</v>
      </c>
      <c r="J25" s="16" t="s">
        <v>703</v>
      </c>
      <c r="L25" s="38" t="s">
        <v>685</v>
      </c>
    </row>
    <row r="26" customFormat="false" ht="15" hidden="false" customHeight="true" outlineLevel="0" collapsed="false">
      <c r="B26" s="121" t="s">
        <v>302</v>
      </c>
      <c r="C26" s="66" t="s">
        <v>704</v>
      </c>
      <c r="D26" s="14" t="s">
        <v>684</v>
      </c>
      <c r="E26" s="69" t="s">
        <v>632</v>
      </c>
      <c r="F26" s="70" t="n">
        <f aca="false">IF($E26="","",IFERROR(LOOKUP(VALUE(LEFT($E26&amp;"",FIND("-",$E26&amp;"-")-1)),$C$57:$C$65,$D$57:$D$65),""))</f>
        <v>0</v>
      </c>
      <c r="G26" s="71"/>
      <c r="H26" s="72" t="str">
        <f aca="false">IF($G26="","n/a",IF($F26=$G26,"ok","MISMATCH"))</f>
        <v>n/a</v>
      </c>
      <c r="I26" s="73" t="n">
        <v>14000</v>
      </c>
      <c r="J26" s="16"/>
      <c r="L26" s="38" t="s">
        <v>302</v>
      </c>
    </row>
    <row r="27" customFormat="false" ht="15" hidden="false" customHeight="true" outlineLevel="0" collapsed="false">
      <c r="B27" s="122" t="s">
        <v>685</v>
      </c>
      <c r="C27" s="66" t="s">
        <v>705</v>
      </c>
      <c r="D27" s="14" t="s">
        <v>684</v>
      </c>
      <c r="E27" s="69" t="s">
        <v>524</v>
      </c>
      <c r="F27" s="70" t="n">
        <f aca="false">IF($E27="","",IFERROR(LOOKUP(VALUE(LEFT($E27&amp;"",FIND("-",$E27&amp;"-")-1)),$C$57:$C$65,$D$57:$D$65),""))</f>
        <v>0</v>
      </c>
      <c r="G27" s="71"/>
      <c r="H27" s="72" t="str">
        <f aca="false">IF($G27="","n/a",IF($F27=$G27,"ok","MISMATCH"))</f>
        <v>n/a</v>
      </c>
      <c r="I27" s="73" t="n">
        <v>13000</v>
      </c>
      <c r="J27" s="16" t="s">
        <v>706</v>
      </c>
      <c r="L27" s="38" t="s">
        <v>685</v>
      </c>
    </row>
    <row r="28" customFormat="false" ht="15" hidden="false" customHeight="true" outlineLevel="0" collapsed="false">
      <c r="B28" s="121" t="s">
        <v>134</v>
      </c>
      <c r="C28" s="66" t="s">
        <v>707</v>
      </c>
      <c r="D28" s="14" t="s">
        <v>684</v>
      </c>
      <c r="E28" s="69" t="s">
        <v>527</v>
      </c>
      <c r="F28" s="70" t="n">
        <f aca="false">IF($E28="","",IFERROR(LOOKUP(VALUE(LEFT($E28&amp;"",FIND("-",$E28&amp;"-")-1)),$C$57:$C$65,$D$57:$D$65),""))</f>
        <v>0</v>
      </c>
      <c r="G28" s="71" t="n">
        <v>0</v>
      </c>
      <c r="H28" s="72" t="str">
        <f aca="false">IF($G28="","n/a",IF($F28=$G28,"ok","MISMATCH"))</f>
        <v>ok</v>
      </c>
      <c r="I28" s="73" t="n">
        <v>12000</v>
      </c>
      <c r="J28" s="16"/>
      <c r="L28" s="38" t="s">
        <v>134</v>
      </c>
    </row>
    <row r="29" customFormat="false" ht="15" hidden="false" customHeight="true" outlineLevel="0" collapsed="false">
      <c r="B29" s="122" t="s">
        <v>685</v>
      </c>
      <c r="C29" s="66" t="s">
        <v>708</v>
      </c>
      <c r="D29" s="14" t="s">
        <v>684</v>
      </c>
      <c r="E29" s="69" t="s">
        <v>634</v>
      </c>
      <c r="F29" s="70" t="n">
        <f aca="false">IF($E29="","",IFERROR(LOOKUP(VALUE(LEFT($E29&amp;"",FIND("-",$E29&amp;"-")-1)),$C$57:$C$65,$D$57:$D$65),""))</f>
        <v>0</v>
      </c>
      <c r="G29" s="71"/>
      <c r="H29" s="72" t="str">
        <f aca="false">IF($G29="","n/a",IF($F29=$G29,"ok","MISMATCH"))</f>
        <v>n/a</v>
      </c>
      <c r="I29" s="73" t="n">
        <v>11000</v>
      </c>
      <c r="J29" s="16" t="s">
        <v>709</v>
      </c>
      <c r="L29" s="38" t="s">
        <v>685</v>
      </c>
    </row>
    <row r="30" customFormat="false" ht="15" hidden="false" customHeight="true" outlineLevel="0" collapsed="false">
      <c r="B30" s="121" t="s">
        <v>134</v>
      </c>
      <c r="C30" s="66" t="s">
        <v>710</v>
      </c>
      <c r="D30" s="14" t="s">
        <v>684</v>
      </c>
      <c r="E30" s="69" t="s">
        <v>635</v>
      </c>
      <c r="F30" s="70" t="n">
        <f aca="false">IF($E30="","",IFERROR(LOOKUP(VALUE(LEFT($E30&amp;"",FIND("-",$E30&amp;"-")-1)),$C$57:$C$65,$D$57:$D$65),""))</f>
        <v>0</v>
      </c>
      <c r="G30" s="71"/>
      <c r="H30" s="72" t="str">
        <f aca="false">IF($G30="","n/a",IF($F30=$G30,"ok","MISMATCH"))</f>
        <v>n/a</v>
      </c>
      <c r="I30" s="73" t="n">
        <v>10000</v>
      </c>
      <c r="J30" s="16"/>
      <c r="L30" s="38" t="s">
        <v>134</v>
      </c>
    </row>
    <row r="31" customFormat="false" ht="15" hidden="false" customHeight="true" outlineLevel="0" collapsed="false">
      <c r="B31" s="121" t="s">
        <v>208</v>
      </c>
      <c r="C31" s="66" t="s">
        <v>711</v>
      </c>
      <c r="D31" s="14" t="s">
        <v>684</v>
      </c>
      <c r="E31" s="69" t="s">
        <v>639</v>
      </c>
      <c r="F31" s="70" t="n">
        <f aca="false">IF($E31="","",IFERROR(LOOKUP(VALUE(LEFT($E31&amp;"",FIND("-",$E31&amp;"-")-1)),$C$57:$C$65,$D$57:$D$65),""))</f>
        <v>0</v>
      </c>
      <c r="G31" s="71" t="n">
        <v>0</v>
      </c>
      <c r="H31" s="72" t="str">
        <f aca="false">IF($G31="","n/a",IF($F31=$G31,"ok","MISMATCH"))</f>
        <v>ok</v>
      </c>
      <c r="I31" s="73" t="n">
        <v>9500</v>
      </c>
      <c r="J31" s="16"/>
      <c r="L31" s="38" t="s">
        <v>208</v>
      </c>
    </row>
    <row r="32" customFormat="false" ht="15" hidden="false" customHeight="true" outlineLevel="0" collapsed="false">
      <c r="B32" s="122" t="s">
        <v>685</v>
      </c>
      <c r="C32" s="66" t="s">
        <v>712</v>
      </c>
      <c r="D32" s="14" t="s">
        <v>684</v>
      </c>
      <c r="E32" s="69" t="s">
        <v>641</v>
      </c>
      <c r="F32" s="70" t="n">
        <f aca="false">IF($E32="","",IFERROR(LOOKUP(VALUE(LEFT($E32&amp;"",FIND("-",$E32&amp;"-")-1)),$C$57:$C$65,$D$57:$D$65),""))</f>
        <v>0</v>
      </c>
      <c r="G32" s="71"/>
      <c r="H32" s="72" t="str">
        <f aca="false">IF($G32="","n/a",IF($F32=$G32,"ok","MISMATCH"))</f>
        <v>n/a</v>
      </c>
      <c r="I32" s="73" t="n">
        <v>9000</v>
      </c>
      <c r="J32" s="16" t="s">
        <v>713</v>
      </c>
      <c r="L32" s="38" t="s">
        <v>685</v>
      </c>
    </row>
    <row r="33" customFormat="false" ht="15" hidden="false" customHeight="true" outlineLevel="0" collapsed="false">
      <c r="B33" s="121" t="s">
        <v>181</v>
      </c>
      <c r="C33" s="66" t="s">
        <v>714</v>
      </c>
      <c r="D33" s="14" t="s">
        <v>684</v>
      </c>
      <c r="E33" s="69" t="s">
        <v>642</v>
      </c>
      <c r="F33" s="70" t="n">
        <f aca="false">IF($E33="","",IFERROR(LOOKUP(VALUE(LEFT($E33&amp;"",FIND("-",$E33&amp;"-")-1)),$C$57:$C$65,$D$57:$D$65),""))</f>
        <v>0</v>
      </c>
      <c r="G33" s="71" t="n">
        <v>0</v>
      </c>
      <c r="H33" s="72" t="str">
        <f aca="false">IF($G33="","n/a",IF($F33=$G33,"ok","MISMATCH"))</f>
        <v>ok</v>
      </c>
      <c r="I33" s="73" t="n">
        <v>8500</v>
      </c>
      <c r="J33" s="16"/>
      <c r="L33" s="38" t="s">
        <v>181</v>
      </c>
    </row>
    <row r="34" customFormat="false" ht="15" hidden="false" customHeight="true" outlineLevel="0" collapsed="false">
      <c r="B34" s="122" t="s">
        <v>685</v>
      </c>
      <c r="C34" s="66" t="s">
        <v>715</v>
      </c>
      <c r="D34" s="14" t="s">
        <v>684</v>
      </c>
      <c r="E34" s="69" t="s">
        <v>644</v>
      </c>
      <c r="F34" s="70" t="n">
        <f aca="false">IF($E34="","",IFERROR(LOOKUP(VALUE(LEFT($E34&amp;"",FIND("-",$E34&amp;"-")-1)),$C$57:$C$65,$D$57:$D$65),""))</f>
        <v>0</v>
      </c>
      <c r="G34" s="71"/>
      <c r="H34" s="72" t="str">
        <f aca="false">IF($G34="","n/a",IF($F34=$G34,"ok","MISMATCH"))</f>
        <v>n/a</v>
      </c>
      <c r="I34" s="73" t="n">
        <v>8000</v>
      </c>
      <c r="J34" s="16" t="s">
        <v>716</v>
      </c>
      <c r="L34" s="38" t="s">
        <v>685</v>
      </c>
    </row>
    <row r="35" customFormat="false" ht="15" hidden="false" customHeight="true" outlineLevel="0" collapsed="false">
      <c r="B35" s="121" t="s">
        <v>717</v>
      </c>
      <c r="C35" s="66" t="s">
        <v>718</v>
      </c>
      <c r="D35" s="14" t="s">
        <v>684</v>
      </c>
      <c r="E35" s="69" t="s">
        <v>646</v>
      </c>
      <c r="F35" s="70" t="n">
        <f aca="false">IF($E35="","",IFERROR(LOOKUP(VALUE(LEFT($E35&amp;"",FIND("-",$E35&amp;"-")-1)),$C$57:$C$65,$D$57:$D$65),""))</f>
        <v>0</v>
      </c>
      <c r="G35" s="71"/>
      <c r="H35" s="72" t="str">
        <f aca="false">IF($G35="","n/a",IF($F35=$G35,"ok","MISMATCH"))</f>
        <v>n/a</v>
      </c>
      <c r="I35" s="73" t="n">
        <v>7500</v>
      </c>
      <c r="J35" s="16"/>
      <c r="L35" s="38" t="s">
        <v>717</v>
      </c>
    </row>
    <row r="36" customFormat="false" ht="15" hidden="false" customHeight="true" outlineLevel="0" collapsed="false">
      <c r="B36" s="121" t="s">
        <v>195</v>
      </c>
      <c r="C36" s="66" t="s">
        <v>719</v>
      </c>
      <c r="D36" s="14" t="s">
        <v>684</v>
      </c>
      <c r="E36" s="69" t="s">
        <v>649</v>
      </c>
      <c r="F36" s="70" t="n">
        <f aca="false">IF($E36="","",IFERROR(LOOKUP(VALUE(LEFT($E36&amp;"",FIND("-",$E36&amp;"-")-1)),$C$57:$C$65,$D$57:$D$65),""))</f>
        <v>0</v>
      </c>
      <c r="G36" s="71" t="n">
        <v>0</v>
      </c>
      <c r="H36" s="72" t="str">
        <f aca="false">IF($G36="","n/a",IF($F36=$G36,"ok","MISMATCH"))</f>
        <v>ok</v>
      </c>
      <c r="I36" s="73" t="n">
        <v>7000</v>
      </c>
      <c r="J36" s="16"/>
      <c r="L36" s="38" t="s">
        <v>195</v>
      </c>
    </row>
    <row r="37" customFormat="false" ht="15" hidden="false" customHeight="true" outlineLevel="0" collapsed="false">
      <c r="B37" s="122" t="s">
        <v>685</v>
      </c>
      <c r="C37" s="66" t="s">
        <v>720</v>
      </c>
      <c r="D37" s="14" t="s">
        <v>684</v>
      </c>
      <c r="E37" s="69" t="s">
        <v>721</v>
      </c>
      <c r="F37" s="70" t="n">
        <f aca="false">IF($E37="","",IFERROR(LOOKUP(VALUE(LEFT($E37&amp;"",FIND("-",$E37&amp;"-")-1)),$C$57:$C$65,$D$57:$D$65),""))</f>
        <v>0</v>
      </c>
      <c r="G37" s="71"/>
      <c r="H37" s="72" t="str">
        <f aca="false">IF($G37="","n/a",IF($F37=$G37,"ok","MISMATCH"))</f>
        <v>n/a</v>
      </c>
      <c r="I37" s="73" t="n">
        <v>6500</v>
      </c>
      <c r="J37" s="16" t="s">
        <v>722</v>
      </c>
      <c r="L37" s="38" t="s">
        <v>685</v>
      </c>
    </row>
    <row r="38" customFormat="false" ht="15" hidden="false" customHeight="true" outlineLevel="0" collapsed="false">
      <c r="B38" s="121" t="s">
        <v>723</v>
      </c>
      <c r="C38" s="66" t="s">
        <v>724</v>
      </c>
      <c r="D38" s="14" t="s">
        <v>684</v>
      </c>
      <c r="E38" s="69" t="s">
        <v>725</v>
      </c>
      <c r="F38" s="70" t="n">
        <f aca="false">IF($E38="","",IFERROR(LOOKUP(VALUE(LEFT($E38&amp;"",FIND("-",$E38&amp;"-")-1)),$C$57:$C$65,$D$57:$D$65),""))</f>
        <v>0</v>
      </c>
      <c r="G38" s="71"/>
      <c r="H38" s="72" t="str">
        <f aca="false">IF($G38="","n/a",IF($F38=$G38,"ok","MISMATCH"))</f>
        <v>n/a</v>
      </c>
      <c r="I38" s="73" t="n">
        <v>6000</v>
      </c>
      <c r="J38" s="16"/>
      <c r="L38" s="38" t="s">
        <v>723</v>
      </c>
    </row>
    <row r="39" customFormat="false" ht="15" hidden="false" customHeight="true" outlineLevel="0" collapsed="false">
      <c r="B39" s="122" t="s">
        <v>685</v>
      </c>
      <c r="C39" s="66" t="s">
        <v>726</v>
      </c>
      <c r="D39" s="14" t="s">
        <v>684</v>
      </c>
      <c r="E39" s="69" t="s">
        <v>727</v>
      </c>
      <c r="F39" s="70" t="n">
        <f aca="false">IF($E39="","",IFERROR(LOOKUP(VALUE(LEFT($E39&amp;"",FIND("-",$E39&amp;"-")-1)),$C$57:$C$65,$D$57:$D$65),""))</f>
        <v>0</v>
      </c>
      <c r="G39" s="71"/>
      <c r="H39" s="72" t="str">
        <f aca="false">IF($G39="","n/a",IF($F39=$G39,"ok","MISMATCH"))</f>
        <v>n/a</v>
      </c>
      <c r="I39" s="73" t="n">
        <v>5500</v>
      </c>
      <c r="J39" s="16" t="s">
        <v>728</v>
      </c>
      <c r="L39" s="38" t="s">
        <v>685</v>
      </c>
    </row>
    <row r="40" customFormat="false" ht="15" hidden="false" customHeight="true" outlineLevel="0" collapsed="false">
      <c r="B40" s="121" t="s">
        <v>163</v>
      </c>
      <c r="C40" s="66" t="s">
        <v>729</v>
      </c>
      <c r="D40" s="14" t="s">
        <v>684</v>
      </c>
      <c r="E40" s="69" t="s">
        <v>730</v>
      </c>
      <c r="F40" s="70" t="n">
        <f aca="false">IF($E40="","",IFERROR(LOOKUP(VALUE(LEFT($E40&amp;"",FIND("-",$E40&amp;"-")-1)),$C$57:$C$65,$D$57:$D$65),""))</f>
        <v>0</v>
      </c>
      <c r="G40" s="71" t="n">
        <v>0</v>
      </c>
      <c r="H40" s="72" t="str">
        <f aca="false">IF($G40="","n/a",IF($F40=$G40,"ok","MISMATCH"))</f>
        <v>ok</v>
      </c>
      <c r="I40" s="73" t="n">
        <v>5000</v>
      </c>
      <c r="J40" s="16"/>
      <c r="L40" s="38" t="s">
        <v>163</v>
      </c>
    </row>
    <row r="41" customFormat="false" ht="15" hidden="false" customHeight="true" outlineLevel="0" collapsed="false">
      <c r="B41" s="121" t="s">
        <v>184</v>
      </c>
      <c r="C41" s="66" t="s">
        <v>731</v>
      </c>
      <c r="D41" s="14" t="s">
        <v>684</v>
      </c>
      <c r="E41" s="69" t="s">
        <v>732</v>
      </c>
      <c r="F41" s="70" t="n">
        <f aca="false">IF($E41="","",IFERROR(LOOKUP(VALUE(LEFT($E41&amp;"",FIND("-",$E41&amp;"-")-1)),$C$57:$C$65,$D$57:$D$65),""))</f>
        <v>0</v>
      </c>
      <c r="G41" s="71" t="n">
        <v>0</v>
      </c>
      <c r="H41" s="72" t="str">
        <f aca="false">IF($G41="","n/a",IF($F41=$G41,"ok","MISMATCH"))</f>
        <v>ok</v>
      </c>
      <c r="I41" s="73" t="n">
        <v>4500</v>
      </c>
      <c r="J41" s="16"/>
      <c r="L41" s="38" t="s">
        <v>184</v>
      </c>
    </row>
    <row r="42" customFormat="false" ht="15" hidden="false" customHeight="true" outlineLevel="0" collapsed="false">
      <c r="B42" s="122" t="s">
        <v>685</v>
      </c>
      <c r="C42" s="66" t="s">
        <v>733</v>
      </c>
      <c r="D42" s="14" t="s">
        <v>684</v>
      </c>
      <c r="E42" s="69" t="s">
        <v>734</v>
      </c>
      <c r="F42" s="70" t="n">
        <f aca="false">IF($E42="","",IFERROR(LOOKUP(VALUE(LEFT($E42&amp;"",FIND("-",$E42&amp;"-")-1)),$C$57:$C$65,$D$57:$D$65),""))</f>
        <v>0</v>
      </c>
      <c r="G42" s="71"/>
      <c r="H42" s="72" t="str">
        <f aca="false">IF($G42="","n/a",IF($F42=$G42,"ok","MISMATCH"))</f>
        <v>n/a</v>
      </c>
      <c r="I42" s="73" t="n">
        <v>4000</v>
      </c>
      <c r="J42" s="16" t="s">
        <v>735</v>
      </c>
      <c r="L42" s="38" t="s">
        <v>685</v>
      </c>
    </row>
    <row r="43" customFormat="false" ht="15" hidden="false" customHeight="true" outlineLevel="0" collapsed="false">
      <c r="B43" s="122" t="s">
        <v>736</v>
      </c>
      <c r="C43" s="66" t="s">
        <v>737</v>
      </c>
      <c r="D43" s="14" t="s">
        <v>684</v>
      </c>
      <c r="E43" s="69" t="s">
        <v>738</v>
      </c>
      <c r="F43" s="70" t="n">
        <f aca="false">IF($E43="","",IFERROR(LOOKUP(VALUE(LEFT($E43&amp;"",FIND("-",$E43&amp;"-")-1)),$C$57:$C$65,$D$57:$D$65),""))</f>
        <v>0</v>
      </c>
      <c r="G43" s="71"/>
      <c r="H43" s="72" t="str">
        <f aca="false">IF($G43="","n/a",IF($F43=$G43,"ok","MISMATCH"))</f>
        <v>n/a</v>
      </c>
      <c r="I43" s="73" t="n">
        <v>3500</v>
      </c>
      <c r="J43" s="16"/>
      <c r="L43" s="38" t="s">
        <v>736</v>
      </c>
    </row>
    <row r="44" customFormat="false" ht="15" hidden="false" customHeight="true" outlineLevel="0" collapsed="false">
      <c r="B44" s="121" t="s">
        <v>739</v>
      </c>
      <c r="C44" s="66" t="s">
        <v>740</v>
      </c>
      <c r="D44" s="14" t="s">
        <v>684</v>
      </c>
      <c r="E44" s="69" t="s">
        <v>741</v>
      </c>
      <c r="F44" s="70" t="n">
        <f aca="false">IF($E44="","",IFERROR(LOOKUP(VALUE(LEFT($E44&amp;"",FIND("-",$E44&amp;"-")-1)),$C$57:$C$65,$D$57:$D$65),""))</f>
        <v>0</v>
      </c>
      <c r="G44" s="71"/>
      <c r="H44" s="72" t="str">
        <f aca="false">IF($G44="","n/a",IF($F44=$G44,"ok","MISMATCH"))</f>
        <v>n/a</v>
      </c>
      <c r="I44" s="73" t="n">
        <v>3000</v>
      </c>
      <c r="J44" s="16"/>
      <c r="L44" s="38" t="s">
        <v>739</v>
      </c>
    </row>
    <row r="45" customFormat="false" ht="15" hidden="false" customHeight="true" outlineLevel="0" collapsed="false">
      <c r="B45" s="122" t="s">
        <v>685</v>
      </c>
      <c r="C45" s="66" t="s">
        <v>742</v>
      </c>
      <c r="D45" s="14" t="s">
        <v>684</v>
      </c>
      <c r="E45" s="69" t="s">
        <v>743</v>
      </c>
      <c r="F45" s="70" t="n">
        <f aca="false">IF($E45="","",IFERROR(LOOKUP(VALUE(LEFT($E45&amp;"",FIND("-",$E45&amp;"-")-1)),$C$57:$C$65,$D$57:$D$65),""))</f>
        <v>0</v>
      </c>
      <c r="G45" s="71"/>
      <c r="H45" s="72" t="str">
        <f aca="false">IF($G45="","n/a",IF($F45=$G45,"ok","MISMATCH"))</f>
        <v>n/a</v>
      </c>
      <c r="I45" s="73" t="n">
        <v>2500</v>
      </c>
      <c r="J45" s="16" t="s">
        <v>744</v>
      </c>
      <c r="L45" s="38" t="s">
        <v>685</v>
      </c>
    </row>
    <row r="46" customFormat="false" ht="15" hidden="false" customHeight="true" outlineLevel="0" collapsed="false">
      <c r="B46" s="121" t="s">
        <v>171</v>
      </c>
      <c r="C46" s="66" t="s">
        <v>745</v>
      </c>
      <c r="D46" s="14" t="s">
        <v>684</v>
      </c>
      <c r="E46" s="69" t="s">
        <v>743</v>
      </c>
      <c r="F46" s="70" t="n">
        <f aca="false">IF($E46="","",IFERROR(LOOKUP(VALUE(LEFT($E46&amp;"",FIND("-",$E46&amp;"-")-1)),$C$57:$C$65,$D$57:$D$65),""))</f>
        <v>0</v>
      </c>
      <c r="G46" s="71" t="n">
        <v>0</v>
      </c>
      <c r="H46" s="72" t="str">
        <f aca="false">IF($G46="","n/a",IF($F46=$G46,"ok","MISMATCH"))</f>
        <v>ok</v>
      </c>
      <c r="I46" s="73" t="n">
        <v>2500</v>
      </c>
      <c r="J46" s="16" t="s">
        <v>746</v>
      </c>
      <c r="L46" s="38" t="s">
        <v>171</v>
      </c>
    </row>
    <row r="47" customFormat="false" ht="15" hidden="false" customHeight="true" outlineLevel="0" collapsed="false">
      <c r="B47" s="122" t="s">
        <v>685</v>
      </c>
      <c r="C47" s="66" t="s">
        <v>747</v>
      </c>
      <c r="D47" s="14" t="s">
        <v>684</v>
      </c>
      <c r="E47" s="69" t="s">
        <v>748</v>
      </c>
      <c r="F47" s="70" t="n">
        <f aca="false">IF($E47="","",IFERROR(LOOKUP(VALUE(LEFT($E47&amp;"",FIND("-",$E47&amp;"-")-1)),$C$57:$C$65,$D$57:$D$65),""))</f>
        <v>0</v>
      </c>
      <c r="G47" s="71"/>
      <c r="H47" s="72" t="str">
        <f aca="false">IF($G47="","n/a",IF($F47=$G47,"ok","MISMATCH"))</f>
        <v>n/a</v>
      </c>
      <c r="I47" s="73" t="n">
        <v>2250</v>
      </c>
      <c r="J47" s="16" t="s">
        <v>749</v>
      </c>
      <c r="L47" s="38" t="s">
        <v>685</v>
      </c>
    </row>
    <row r="48" customFormat="false" ht="15" hidden="false" customHeight="true" outlineLevel="0" collapsed="false">
      <c r="B48" s="122" t="s">
        <v>685</v>
      </c>
      <c r="C48" s="66" t="s">
        <v>750</v>
      </c>
      <c r="D48" s="14" t="s">
        <v>684</v>
      </c>
      <c r="E48" s="69" t="s">
        <v>748</v>
      </c>
      <c r="F48" s="70" t="n">
        <f aca="false">IF($E48="","",IFERROR(LOOKUP(VALUE(LEFT($E48&amp;"",FIND("-",$E48&amp;"-")-1)),$C$57:$C$65,$D$57:$D$65),""))</f>
        <v>0</v>
      </c>
      <c r="G48" s="71"/>
      <c r="H48" s="72" t="str">
        <f aca="false">IF($G48="","n/a",IF($F48=$G48,"ok","MISMATCH"))</f>
        <v>n/a</v>
      </c>
      <c r="I48" s="73" t="n">
        <v>2250</v>
      </c>
      <c r="J48" s="16" t="s">
        <v>751</v>
      </c>
      <c r="L48" s="38" t="s">
        <v>685</v>
      </c>
    </row>
    <row r="49" customFormat="false" ht="15" hidden="false" customHeight="true" outlineLevel="0" collapsed="false">
      <c r="B49" s="121" t="s">
        <v>752</v>
      </c>
      <c r="C49" s="66" t="s">
        <v>753</v>
      </c>
      <c r="D49" s="14" t="s">
        <v>684</v>
      </c>
      <c r="E49" s="69" t="s">
        <v>754</v>
      </c>
      <c r="F49" s="70" t="n">
        <f aca="false">IF($E49="","",IFERROR(LOOKUP(VALUE(LEFT($E49&amp;"",FIND("-",$E49&amp;"-")-1)),$C$57:$C$65,$D$57:$D$65),""))</f>
        <v>0</v>
      </c>
      <c r="G49" s="71"/>
      <c r="H49" s="72" t="str">
        <f aca="false">IF($G49="","n/a",IF($F49=$G49,"ok","MISMATCH"))</f>
        <v>n/a</v>
      </c>
      <c r="I49" s="73" t="n">
        <v>2000</v>
      </c>
      <c r="J49" s="16"/>
      <c r="L49" s="38" t="s">
        <v>752</v>
      </c>
    </row>
    <row r="50" customFormat="false" ht="15" hidden="false" customHeight="true" outlineLevel="0" collapsed="false">
      <c r="B50" s="121" t="s">
        <v>269</v>
      </c>
      <c r="C50" s="66" t="s">
        <v>755</v>
      </c>
      <c r="D50" s="14" t="s">
        <v>684</v>
      </c>
      <c r="E50" s="69" t="s">
        <v>754</v>
      </c>
      <c r="F50" s="70" t="n">
        <f aca="false">IF($E50="","",IFERROR(LOOKUP(VALUE(LEFT($E50&amp;"",FIND("-",$E50&amp;"-")-1)),$C$57:$C$65,$D$57:$D$65),""))</f>
        <v>0</v>
      </c>
      <c r="G50" s="71"/>
      <c r="H50" s="72" t="str">
        <f aca="false">IF($G50="","n/a",IF($F50=$G50,"ok","MISMATCH"))</f>
        <v>n/a</v>
      </c>
      <c r="I50" s="73" t="n">
        <v>2000</v>
      </c>
      <c r="J50" s="16"/>
      <c r="L50" s="38" t="s">
        <v>269</v>
      </c>
    </row>
    <row r="52" customFormat="false" ht="15" hidden="false" customHeight="true" outlineLevel="0" collapsed="false">
      <c r="B52" s="11" t="s">
        <v>459</v>
      </c>
      <c r="F52" s="77" t="n">
        <f aca="false">SUM(F11:F50)</f>
        <v>3050</v>
      </c>
    </row>
    <row r="53" customFormat="false" ht="15" hidden="false" customHeight="true" outlineLevel="0" collapsed="false">
      <c r="B53" s="18" t="s">
        <v>756</v>
      </c>
    </row>
    <row r="55" customFormat="false" ht="15" hidden="false" customHeight="true" outlineLevel="0" collapsed="false">
      <c r="B55" s="11" t="s">
        <v>461</v>
      </c>
    </row>
    <row r="56" customFormat="false" ht="15" hidden="false" customHeight="true" outlineLevel="0" collapsed="false">
      <c r="B56" s="4" t="s">
        <v>664</v>
      </c>
      <c r="C56" s="4" t="s">
        <v>464</v>
      </c>
    </row>
    <row r="57" customFormat="false" ht="15" hidden="false" customHeight="true" outlineLevel="0" collapsed="false">
      <c r="C57" s="13" t="n">
        <v>1</v>
      </c>
      <c r="D57" s="79" t="n">
        <v>1000</v>
      </c>
      <c r="E57" s="80"/>
    </row>
    <row r="58" customFormat="false" ht="15" hidden="false" customHeight="true" outlineLevel="0" collapsed="false">
      <c r="C58" s="13" t="n">
        <v>2</v>
      </c>
      <c r="D58" s="79" t="n">
        <v>750</v>
      </c>
      <c r="E58" s="80"/>
    </row>
    <row r="59" customFormat="false" ht="15" hidden="false" customHeight="true" outlineLevel="0" collapsed="false">
      <c r="C59" s="13" t="n">
        <v>3</v>
      </c>
      <c r="D59" s="79" t="n">
        <v>500</v>
      </c>
      <c r="E59" s="80"/>
    </row>
    <row r="60" customFormat="false" ht="15" hidden="false" customHeight="true" outlineLevel="0" collapsed="false">
      <c r="C60" s="13" t="n">
        <v>4</v>
      </c>
      <c r="D60" s="79" t="n">
        <v>300</v>
      </c>
      <c r="E60" s="80"/>
    </row>
    <row r="61" customFormat="false" ht="15" hidden="false" customHeight="true" outlineLevel="0" collapsed="false">
      <c r="C61" s="13" t="n">
        <v>5</v>
      </c>
      <c r="D61" s="79" t="n">
        <v>200</v>
      </c>
      <c r="E61" s="80"/>
    </row>
    <row r="62" customFormat="false" ht="15" hidden="false" customHeight="true" outlineLevel="0" collapsed="false">
      <c r="C62" s="13" t="n">
        <v>6</v>
      </c>
      <c r="D62" s="79" t="n">
        <v>150</v>
      </c>
      <c r="E62" s="80"/>
    </row>
    <row r="63" customFormat="false" ht="15" hidden="false" customHeight="true" outlineLevel="0" collapsed="false">
      <c r="C63" s="13" t="n">
        <v>7</v>
      </c>
      <c r="D63" s="79" t="n">
        <v>100</v>
      </c>
      <c r="E63" s="80"/>
    </row>
    <row r="64" customFormat="false" ht="15" hidden="false" customHeight="true" outlineLevel="0" collapsed="false">
      <c r="C64" s="13" t="n">
        <v>8</v>
      </c>
      <c r="D64" s="79" t="n">
        <v>50</v>
      </c>
      <c r="E64" s="80"/>
    </row>
    <row r="65" customFormat="false" ht="15" hidden="false" customHeight="true" outlineLevel="0" collapsed="false">
      <c r="C65" s="13" t="n">
        <v>9</v>
      </c>
      <c r="D65" s="79" t="n">
        <v>0</v>
      </c>
      <c r="E65" s="80" t="s">
        <v>665</v>
      </c>
    </row>
    <row r="68" customFormat="false" ht="15" hidden="false" customHeight="true" outlineLevel="0" collapsed="false">
      <c r="B68" s="11" t="s">
        <v>757</v>
      </c>
    </row>
    <row r="69" customFormat="false" ht="15" hidden="false" customHeight="true" outlineLevel="0" collapsed="false">
      <c r="B69" s="3" t="s">
        <v>758</v>
      </c>
      <c r="C69" s="3"/>
      <c r="D69" s="3"/>
      <c r="E69" s="3"/>
      <c r="F69" s="3"/>
      <c r="G69" s="3"/>
      <c r="H69" s="3"/>
      <c r="I69" s="3"/>
      <c r="J69" s="3"/>
    </row>
    <row r="70" customFormat="false" ht="15" hidden="false" customHeight="true" outlineLevel="0" collapsed="false">
      <c r="B70" s="3"/>
      <c r="C70" s="3"/>
      <c r="D70" s="3"/>
      <c r="E70" s="3"/>
      <c r="F70" s="3"/>
      <c r="G70" s="3"/>
      <c r="H70" s="3"/>
      <c r="I70" s="3"/>
      <c r="J70" s="3"/>
    </row>
    <row r="71" customFormat="false" ht="15" hidden="false" customHeight="true" outlineLevel="0" collapsed="false">
      <c r="B71" s="3"/>
      <c r="C71" s="3"/>
      <c r="D71" s="3"/>
      <c r="E71" s="3"/>
      <c r="F71" s="3"/>
      <c r="G71" s="3"/>
      <c r="H71" s="3"/>
      <c r="I71" s="3"/>
      <c r="J71" s="3"/>
    </row>
    <row r="72" customFormat="false" ht="15" hidden="false" customHeight="true" outlineLevel="0" collapsed="false">
      <c r="B72" s="3"/>
      <c r="C72" s="3"/>
      <c r="D72" s="3"/>
      <c r="E72" s="3"/>
      <c r="F72" s="3"/>
      <c r="G72" s="3"/>
      <c r="H72" s="3"/>
      <c r="I72" s="3"/>
      <c r="J72" s="3"/>
    </row>
    <row r="73" customFormat="false" ht="15" hidden="false" customHeight="true" outlineLevel="0" collapsed="false">
      <c r="B73" s="3"/>
      <c r="C73" s="3"/>
      <c r="D73" s="3"/>
      <c r="E73" s="3"/>
      <c r="F73" s="3"/>
      <c r="G73" s="3"/>
      <c r="H73" s="3"/>
      <c r="I73" s="3"/>
      <c r="J73" s="3"/>
    </row>
    <row r="74" customFormat="false" ht="15" hidden="false" customHeight="true" outlineLevel="0" collapsed="false">
      <c r="B74" s="3"/>
      <c r="C74" s="3"/>
      <c r="D74" s="3"/>
      <c r="E74" s="3"/>
      <c r="F74" s="3"/>
      <c r="G74" s="3"/>
      <c r="H74" s="3"/>
      <c r="I74" s="3"/>
      <c r="J74" s="3"/>
    </row>
    <row r="76" customFormat="false" ht="23.25" hidden="false" customHeight="true" outlineLevel="0" collapsed="false">
      <c r="B76" s="4" t="s">
        <v>682</v>
      </c>
      <c r="C76" s="4" t="s">
        <v>759</v>
      </c>
      <c r="D76" s="4" t="s">
        <v>760</v>
      </c>
      <c r="E76" s="4" t="s">
        <v>761</v>
      </c>
      <c r="F76" s="4" t="s">
        <v>762</v>
      </c>
      <c r="G76" s="4" t="s">
        <v>763</v>
      </c>
    </row>
    <row r="77" customFormat="false" ht="15" hidden="false" customHeight="true" outlineLevel="0" collapsed="false">
      <c r="B77" s="12" t="s">
        <v>764</v>
      </c>
      <c r="C77" s="13" t="n">
        <f aca="false">COUNTIF($D$11:$D$50,$B77)</f>
        <v>0</v>
      </c>
      <c r="D77" s="13" t="n">
        <f aca="false">1</f>
        <v>1</v>
      </c>
      <c r="E77" s="13" t="n">
        <f aca="false">D77+C77-1</f>
        <v>0</v>
      </c>
      <c r="F77" s="111" t="str">
        <f aca="false">IF(C77=0,"",(D77+E77)/2)</f>
        <v/>
      </c>
      <c r="G77" s="112" t="str">
        <f aca="false">IF(C77=0,"",(E77-D77+1)/SQRT(12))</f>
        <v/>
      </c>
    </row>
    <row r="78" customFormat="false" ht="15" hidden="false" customHeight="true" outlineLevel="0" collapsed="false">
      <c r="B78" s="12" t="s">
        <v>684</v>
      </c>
      <c r="C78" s="13" t="n">
        <f aca="false">COUNTIF($D$11:$D$50,$B78)</f>
        <v>40</v>
      </c>
      <c r="D78" s="13" t="n">
        <f aca="false">E77+1</f>
        <v>1</v>
      </c>
      <c r="E78" s="13" t="n">
        <f aca="false">D78+C78-1</f>
        <v>40</v>
      </c>
      <c r="F78" s="111" t="n">
        <f aca="false">IF(C78=0,"",(D78+E78)/2)</f>
        <v>20.5</v>
      </c>
      <c r="G78" s="112" t="n">
        <f aca="false">IF(C78=0,"",(E78-D78+1)/SQRT(12))</f>
        <v>11.5470053837925</v>
      </c>
    </row>
    <row r="80" customFormat="false" ht="15" hidden="false" customHeight="true" outlineLevel="0" collapsed="false">
      <c r="B80" s="18" t="s">
        <v>765</v>
      </c>
    </row>
    <row r="81" customFormat="false" ht="15" hidden="false" customHeight="true" outlineLevel="0" collapsed="false">
      <c r="B81" s="93" t="s">
        <v>766</v>
      </c>
    </row>
    <row r="83" customFormat="false" ht="15" hidden="false" customHeight="true" outlineLevel="0" collapsed="false">
      <c r="B83" s="93" t="s">
        <v>767</v>
      </c>
    </row>
  </sheetData>
  <sheetProtection sheet="true" formatCells="false" selectLockedCells="true" selectUnlockedCells="true"/>
  <mergeCells count="1">
    <mergeCell ref="B69:J74"/>
  </mergeCells>
  <dataValidations count="2">
    <dataValidation allowBlank="true" error="Pick a placement from the list — free text breaks the points lookup." errorStyle="stop" errorTitle="Use the dropdown" operator="between" showDropDown="false" showErrorMessage="false" showInputMessage="false" sqref="E11:E50" type="list">
      <formula1>"1,2,3,4,5,6,7,8,9,10,11,12,13,14,15,16,17,18,19,20,21,22,23,24,25,26,27,28,29,30,31,32,33,34,35-36,37-38,39-40"</formula1>
      <formula2>0</formula2>
    </dataValidation>
    <dataValidation allowBlank="true" error="Elite or Field only." errorStyle="stop" errorTitle="Use the dropdown" operator="between" showDropDown="false" showErrorMessage="false" showInputMessage="false" sqref="D11:D50" type="list">
      <formula1>"Elite,Field"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0" topLeftCell="D11" activePane="bottomRight" state="frozen"/>
      <selection pane="topLeft" activeCell="A1" activeCellId="0" sqref="A1"/>
      <selection pane="topRight" activeCell="D1" activeCellId="0" sqref="D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3" min="3" style="1" width="16"/>
    <col collapsed="false" customWidth="true" hidden="false" outlineLevel="0" max="4" min="4" style="1" width="8"/>
    <col collapsed="false" customWidth="true" hidden="false" outlineLevel="0" max="5" min="5" style="1" width="13"/>
    <col collapsed="false" customWidth="true" hidden="false" outlineLevel="0" max="7" min="6" style="1" width="12"/>
    <col collapsed="false" customWidth="true" hidden="false" outlineLevel="0" max="8" min="8" style="1" width="15"/>
    <col collapsed="false" customWidth="true" hidden="false" outlineLevel="0" max="9" min="9" style="1" width="10"/>
    <col collapsed="false" customWidth="true" hidden="false" outlineLevel="0" max="10" min="10" style="1" width="12"/>
    <col collapsed="false" customWidth="true" hidden="false" outlineLevel="0" max="11" min="11" style="1" width="40"/>
  </cols>
  <sheetData>
    <row r="2" customFormat="false" ht="18" hidden="false" customHeight="true" outlineLevel="0" collapsed="false">
      <c r="B2" s="2" t="s">
        <v>768</v>
      </c>
    </row>
    <row r="3" customFormat="false" ht="15" hidden="false" customHeight="true" outlineLevel="0" collapsed="false">
      <c r="B3" s="18" t="s">
        <v>769</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770</v>
      </c>
      <c r="D6" s="28" t="s">
        <v>771</v>
      </c>
      <c r="F6" s="28" t="s">
        <v>772</v>
      </c>
      <c r="H6" s="28" t="s">
        <v>773</v>
      </c>
      <c r="J6" s="28" t="s">
        <v>774</v>
      </c>
      <c r="L6" s="28" t="s">
        <v>775</v>
      </c>
    </row>
    <row r="8" customFormat="false" ht="15" hidden="false" customHeight="true" outlineLevel="0" collapsed="false">
      <c r="B8" s="11" t="s">
        <v>416</v>
      </c>
    </row>
    <row r="9" customFormat="false" ht="15" hidden="false" customHeight="true" outlineLevel="0" collapsed="false">
      <c r="B9" s="18" t="s">
        <v>776</v>
      </c>
    </row>
    <row r="10" customFormat="false" ht="34.5" hidden="false" customHeight="true" outlineLevel="0" collapsed="false">
      <c r="B10" s="4" t="s">
        <v>418</v>
      </c>
      <c r="C10" s="4" t="s">
        <v>488</v>
      </c>
      <c r="D10" s="4" t="s">
        <v>541</v>
      </c>
      <c r="E10" s="4" t="s">
        <v>777</v>
      </c>
      <c r="F10" s="4" t="s">
        <v>421</v>
      </c>
      <c r="G10" s="4" t="s">
        <v>422</v>
      </c>
      <c r="H10" s="4" t="s">
        <v>423</v>
      </c>
      <c r="I10" s="4" t="s">
        <v>424</v>
      </c>
      <c r="J10" s="4" t="s">
        <v>425</v>
      </c>
      <c r="K10" s="4" t="s">
        <v>41</v>
      </c>
      <c r="M10" s="4" t="s">
        <v>426</v>
      </c>
    </row>
    <row r="11" customFormat="false" ht="15" hidden="false" customHeight="true" outlineLevel="0" collapsed="false">
      <c r="B11" s="117" t="s">
        <v>127</v>
      </c>
      <c r="C11" s="29" t="s">
        <v>778</v>
      </c>
      <c r="D11" s="32" t="n">
        <v>9</v>
      </c>
      <c r="E11" s="31" t="n">
        <v>9</v>
      </c>
      <c r="F11" s="32" t="s">
        <v>427</v>
      </c>
      <c r="G11" s="33" t="n">
        <f aca="false">IF($F11="","",IFERROR(LOOKUP(VALUE(LEFT($F11&amp;"",FIND("-",$F11&amp;"-")-1)),$C$50:$C$56,$D$50:$D$56),""))</f>
        <v>1000</v>
      </c>
      <c r="H11" s="34" t="n">
        <v>1000</v>
      </c>
      <c r="I11" s="35" t="str">
        <f aca="false">IF($H11="","n/a",IF($G11=$H11,"ok","MISMATCH"))</f>
        <v>ok</v>
      </c>
      <c r="J11" s="36" t="n">
        <v>130000</v>
      </c>
      <c r="K11" s="85" t="s">
        <v>779</v>
      </c>
      <c r="M11" s="38" t="s">
        <v>127</v>
      </c>
    </row>
    <row r="12" customFormat="false" ht="15" hidden="false" customHeight="true" outlineLevel="0" collapsed="false">
      <c r="B12" s="123" t="s">
        <v>141</v>
      </c>
      <c r="C12" s="39" t="s">
        <v>780</v>
      </c>
      <c r="D12" s="42" t="n">
        <v>17</v>
      </c>
      <c r="E12" s="41" t="n">
        <v>18</v>
      </c>
      <c r="F12" s="42" t="s">
        <v>428</v>
      </c>
      <c r="G12" s="43" t="n">
        <f aca="false">IF($F12="","",IFERROR(LOOKUP(VALUE(LEFT($F12&amp;"",FIND("-",$F12&amp;"-")-1)),$C$50:$C$56,$D$50:$D$56),""))</f>
        <v>750</v>
      </c>
      <c r="H12" s="44" t="n">
        <v>750</v>
      </c>
      <c r="I12" s="45" t="str">
        <f aca="false">IF($H12="","n/a",IF($G12=$H12,"ok","MISMATCH"))</f>
        <v>ok</v>
      </c>
      <c r="J12" s="46" t="n">
        <v>70000</v>
      </c>
      <c r="K12" s="87"/>
      <c r="M12" s="38" t="s">
        <v>141</v>
      </c>
    </row>
    <row r="13" customFormat="false" ht="15" hidden="false" customHeight="true" outlineLevel="0" collapsed="false">
      <c r="B13" s="119" t="s">
        <v>119</v>
      </c>
      <c r="C13" s="48" t="s">
        <v>781</v>
      </c>
      <c r="D13" s="51" t="n">
        <v>13</v>
      </c>
      <c r="E13" s="50" t="n">
        <v>13</v>
      </c>
      <c r="F13" s="51" t="s">
        <v>430</v>
      </c>
      <c r="G13" s="52" t="n">
        <f aca="false">IF($F13="","",IFERROR(LOOKUP(VALUE(LEFT($F13&amp;"",FIND("-",$F13&amp;"-")-1)),$C$50:$C$56,$D$50:$D$56),""))</f>
        <v>500</v>
      </c>
      <c r="H13" s="53" t="n">
        <v>500</v>
      </c>
      <c r="I13" s="54" t="str">
        <f aca="false">IF($H13="","n/a",IF($G13=$H13,"ok","MISMATCH"))</f>
        <v>ok</v>
      </c>
      <c r="J13" s="55" t="n">
        <v>35000</v>
      </c>
      <c r="K13" s="89"/>
      <c r="M13" s="38" t="s">
        <v>119</v>
      </c>
    </row>
    <row r="14" customFormat="false" ht="15" hidden="false" customHeight="true" outlineLevel="0" collapsed="false">
      <c r="B14" s="120" t="s">
        <v>165</v>
      </c>
      <c r="C14" s="57" t="s">
        <v>782</v>
      </c>
      <c r="D14" s="60" t="n">
        <v>12</v>
      </c>
      <c r="E14" s="59" t="n">
        <v>12</v>
      </c>
      <c r="F14" s="60" t="s">
        <v>431</v>
      </c>
      <c r="G14" s="61" t="n">
        <f aca="false">IF($F14="","",IFERROR(LOOKUP(VALUE(LEFT($F14&amp;"",FIND("-",$F14&amp;"-")-1)),$C$50:$C$56,$D$50:$D$56),""))</f>
        <v>300</v>
      </c>
      <c r="H14" s="62" t="n">
        <v>300</v>
      </c>
      <c r="I14" s="63" t="str">
        <f aca="false">IF($H14="","n/a",IF($G14=$H14,"ok","MISMATCH"))</f>
        <v>ok</v>
      </c>
      <c r="J14" s="64" t="n">
        <v>25000</v>
      </c>
      <c r="K14" s="91"/>
      <c r="M14" s="38" t="s">
        <v>165</v>
      </c>
    </row>
    <row r="15" customFormat="false" ht="15" hidden="false" customHeight="true" outlineLevel="0" collapsed="false">
      <c r="B15" s="120" t="s">
        <v>145</v>
      </c>
      <c r="C15" s="57" t="s">
        <v>783</v>
      </c>
      <c r="D15" s="60" t="n">
        <v>6</v>
      </c>
      <c r="E15" s="59" t="n">
        <v>6</v>
      </c>
      <c r="F15" s="60" t="s">
        <v>784</v>
      </c>
      <c r="G15" s="61" t="n">
        <f aca="false">IF($F15="","",IFERROR(LOOKUP(VALUE(LEFT($F15&amp;"",FIND("-",$F15&amp;"-")-1)),$C$50:$C$56,$D$50:$D$56),""))</f>
        <v>200</v>
      </c>
      <c r="H15" s="62" t="n">
        <v>200</v>
      </c>
      <c r="I15" s="63" t="str">
        <f aca="false">IF($H15="","n/a",IF($G15=$H15,"ok","MISMATCH"))</f>
        <v>ok</v>
      </c>
      <c r="J15" s="64" t="n">
        <v>20000</v>
      </c>
      <c r="K15" s="91"/>
      <c r="M15" s="38" t="s">
        <v>145</v>
      </c>
    </row>
    <row r="16" customFormat="false" ht="15" hidden="false" customHeight="true" outlineLevel="0" collapsed="false">
      <c r="B16" s="120" t="s">
        <v>273</v>
      </c>
      <c r="C16" s="57" t="s">
        <v>785</v>
      </c>
      <c r="D16" s="60" t="n">
        <v>2</v>
      </c>
      <c r="E16" s="59" t="n">
        <v>2</v>
      </c>
      <c r="F16" s="60" t="s">
        <v>784</v>
      </c>
      <c r="G16" s="61" t="n">
        <f aca="false">IF($F16="","",IFERROR(LOOKUP(VALUE(LEFT($F16&amp;"",FIND("-",$F16&amp;"-")-1)),$C$50:$C$56,$D$50:$D$56),""))</f>
        <v>200</v>
      </c>
      <c r="H16" s="62" t="n">
        <v>200</v>
      </c>
      <c r="I16" s="63" t="str">
        <f aca="false">IF($H16="","n/a",IF($G16=$H16,"ok","MISMATCH"))</f>
        <v>ok</v>
      </c>
      <c r="J16" s="64" t="n">
        <v>20000</v>
      </c>
      <c r="K16" s="91"/>
      <c r="M16" s="38" t="s">
        <v>273</v>
      </c>
    </row>
    <row r="17" customFormat="false" ht="15" hidden="false" customHeight="true" outlineLevel="0" collapsed="false">
      <c r="B17" s="120" t="s">
        <v>141</v>
      </c>
      <c r="C17" s="57" t="s">
        <v>786</v>
      </c>
      <c r="D17" s="60" t="n">
        <v>10</v>
      </c>
      <c r="E17" s="59" t="n">
        <v>10</v>
      </c>
      <c r="F17" s="60" t="s">
        <v>787</v>
      </c>
      <c r="G17" s="61" t="n">
        <f aca="false">IF($F17="","",IFERROR(LOOKUP(VALUE(LEFT($F17&amp;"",FIND("-",$F17&amp;"-")-1)),$C$50:$C$56,$D$50:$D$56),""))</f>
        <v>100</v>
      </c>
      <c r="H17" s="62"/>
      <c r="I17" s="63" t="str">
        <f aca="false">IF($H17="","n/a",IF($G17=$H17,"ok","MISMATCH"))</f>
        <v>n/a</v>
      </c>
      <c r="J17" s="64" t="n">
        <v>15000</v>
      </c>
      <c r="K17" s="91" t="s">
        <v>788</v>
      </c>
      <c r="M17" s="38" t="s">
        <v>141</v>
      </c>
    </row>
    <row r="18" customFormat="false" ht="15" hidden="false" customHeight="true" outlineLevel="0" collapsed="false">
      <c r="B18" s="120" t="s">
        <v>500</v>
      </c>
      <c r="C18" s="57" t="s">
        <v>789</v>
      </c>
      <c r="D18" s="60" t="n">
        <v>16</v>
      </c>
      <c r="E18" s="59" t="n">
        <v>17</v>
      </c>
      <c r="F18" s="60" t="s">
        <v>787</v>
      </c>
      <c r="G18" s="61" t="n">
        <f aca="false">IF($F18="","",IFERROR(LOOKUP(VALUE(LEFT($F18&amp;"",FIND("-",$F18&amp;"-")-1)),$C$50:$C$56,$D$50:$D$56),""))</f>
        <v>100</v>
      </c>
      <c r="H18" s="62"/>
      <c r="I18" s="63" t="str">
        <f aca="false">IF($H18="","n/a",IF($G18=$H18,"ok","MISMATCH"))</f>
        <v>n/a</v>
      </c>
      <c r="J18" s="64" t="n">
        <v>15000</v>
      </c>
      <c r="K18" s="91"/>
      <c r="M18" s="76" t="s">
        <v>138</v>
      </c>
    </row>
    <row r="19" customFormat="false" ht="15" hidden="false" customHeight="true" outlineLevel="0" collapsed="false">
      <c r="B19" s="121" t="s">
        <v>127</v>
      </c>
      <c r="C19" s="66" t="s">
        <v>790</v>
      </c>
      <c r="D19" s="69" t="n">
        <v>1</v>
      </c>
      <c r="E19" s="68" t="n">
        <v>1</v>
      </c>
      <c r="F19" s="69" t="s">
        <v>506</v>
      </c>
      <c r="G19" s="70" t="n">
        <f aca="false">IF($F19="","",IFERROR(LOOKUP(VALUE(LEFT($F19&amp;"",FIND("-",$F19&amp;"-")-1)),$C$50:$C$56,$D$50:$D$56),""))</f>
        <v>0</v>
      </c>
      <c r="H19" s="71"/>
      <c r="I19" s="72" t="str">
        <f aca="false">IF($H19="","n/a",IF($G19=$H19,"ok","MISMATCH"))</f>
        <v>n/a</v>
      </c>
      <c r="J19" s="73" t="n">
        <v>12500</v>
      </c>
      <c r="K19" s="16" t="s">
        <v>791</v>
      </c>
      <c r="M19" s="38" t="s">
        <v>127</v>
      </c>
    </row>
    <row r="20" customFormat="false" ht="15" hidden="false" customHeight="true" outlineLevel="0" collapsed="false">
      <c r="B20" s="121" t="s">
        <v>114</v>
      </c>
      <c r="C20" s="66" t="s">
        <v>792</v>
      </c>
      <c r="D20" s="69" t="n">
        <v>8</v>
      </c>
      <c r="E20" s="68" t="n">
        <v>8</v>
      </c>
      <c r="F20" s="69" t="s">
        <v>506</v>
      </c>
      <c r="G20" s="70" t="n">
        <f aca="false">IF($F20="","",IFERROR(LOOKUP(VALUE(LEFT($F20&amp;"",FIND("-",$F20&amp;"-")-1)),$C$50:$C$56,$D$50:$D$56),""))</f>
        <v>0</v>
      </c>
      <c r="H20" s="71" t="n">
        <v>0</v>
      </c>
      <c r="I20" s="72" t="str">
        <f aca="false">IF($H20="","n/a",IF($G20=$H20,"ok","MISMATCH"))</f>
        <v>ok</v>
      </c>
      <c r="J20" s="73" t="n">
        <v>12500</v>
      </c>
      <c r="K20" s="16"/>
      <c r="M20" s="38" t="s">
        <v>114</v>
      </c>
    </row>
    <row r="21" customFormat="false" ht="15" hidden="false" customHeight="true" outlineLevel="0" collapsed="false">
      <c r="B21" s="121" t="s">
        <v>273</v>
      </c>
      <c r="C21" s="66" t="s">
        <v>793</v>
      </c>
      <c r="D21" s="69" t="n">
        <v>3</v>
      </c>
      <c r="E21" s="68" t="n">
        <v>3</v>
      </c>
      <c r="F21" s="69" t="s">
        <v>506</v>
      </c>
      <c r="G21" s="70" t="n">
        <f aca="false">IF($F21="","",IFERROR(LOOKUP(VALUE(LEFT($F21&amp;"",FIND("-",$F21&amp;"-")-1)),$C$50:$C$56,$D$50:$D$56),""))</f>
        <v>0</v>
      </c>
      <c r="H21" s="71"/>
      <c r="I21" s="72" t="str">
        <f aca="false">IF($H21="","n/a",IF($G21=$H21,"ok","MISMATCH"))</f>
        <v>n/a</v>
      </c>
      <c r="J21" s="73" t="n">
        <v>12500</v>
      </c>
      <c r="K21" s="16" t="s">
        <v>794</v>
      </c>
      <c r="M21" s="38" t="s">
        <v>273</v>
      </c>
    </row>
    <row r="22" customFormat="false" ht="15" hidden="false" customHeight="true" outlineLevel="0" collapsed="false">
      <c r="B22" s="121" t="s">
        <v>795</v>
      </c>
      <c r="C22" s="66" t="s">
        <v>796</v>
      </c>
      <c r="D22" s="69" t="n">
        <v>21</v>
      </c>
      <c r="E22" s="68" t="n">
        <v>26</v>
      </c>
      <c r="F22" s="69" t="s">
        <v>506</v>
      </c>
      <c r="G22" s="70" t="n">
        <f aca="false">IF($F22="","",IFERROR(LOOKUP(VALUE(LEFT($F22&amp;"",FIND("-",$F22&amp;"-")-1)),$C$50:$C$56,$D$50:$D$56),""))</f>
        <v>0</v>
      </c>
      <c r="H22" s="71"/>
      <c r="I22" s="72" t="str">
        <f aca="false">IF($H22="","n/a",IF($G22=$H22,"ok","MISMATCH"))</f>
        <v>n/a</v>
      </c>
      <c r="J22" s="73" t="n">
        <v>12500</v>
      </c>
      <c r="K22" s="16" t="s">
        <v>797</v>
      </c>
      <c r="M22" s="38" t="s">
        <v>795</v>
      </c>
    </row>
    <row r="23" customFormat="false" ht="15" hidden="false" customHeight="true" outlineLevel="0" collapsed="false">
      <c r="B23" s="121" t="s">
        <v>134</v>
      </c>
      <c r="C23" s="66" t="s">
        <v>798</v>
      </c>
      <c r="D23" s="69" t="n">
        <v>15</v>
      </c>
      <c r="E23" s="68" t="n">
        <v>16</v>
      </c>
      <c r="F23" s="69" t="s">
        <v>514</v>
      </c>
      <c r="G23" s="70" t="n">
        <f aca="false">IF($F23="","",IFERROR(LOOKUP(VALUE(LEFT($F23&amp;"",FIND("-",$F23&amp;"-")-1)),$C$50:$C$56,$D$50:$D$56),""))</f>
        <v>0</v>
      </c>
      <c r="H23" s="71" t="n">
        <v>0</v>
      </c>
      <c r="I23" s="72" t="str">
        <f aca="false">IF($H23="","n/a",IF($G23=$H23,"ok","MISMATCH"))</f>
        <v>ok</v>
      </c>
      <c r="J23" s="73" t="n">
        <v>10000</v>
      </c>
      <c r="K23" s="16"/>
      <c r="M23" s="38" t="s">
        <v>134</v>
      </c>
    </row>
    <row r="24" customFormat="false" ht="15" hidden="false" customHeight="true" outlineLevel="0" collapsed="false">
      <c r="B24" s="121" t="s">
        <v>799</v>
      </c>
      <c r="C24" s="66" t="s">
        <v>800</v>
      </c>
      <c r="D24" s="69" t="n">
        <v>19</v>
      </c>
      <c r="E24" s="68" t="n">
        <v>20</v>
      </c>
      <c r="F24" s="69" t="s">
        <v>514</v>
      </c>
      <c r="G24" s="70" t="n">
        <f aca="false">IF($F24="","",IFERROR(LOOKUP(VALUE(LEFT($F24&amp;"",FIND("-",$F24&amp;"-")-1)),$C$50:$C$56,$D$50:$D$56),""))</f>
        <v>0</v>
      </c>
      <c r="H24" s="71"/>
      <c r="I24" s="72" t="str">
        <f aca="false">IF($H24="","n/a",IF($G24=$H24,"ok","MISMATCH"))</f>
        <v>n/a</v>
      </c>
      <c r="J24" s="73" t="n">
        <v>10000</v>
      </c>
      <c r="K24" s="16"/>
      <c r="M24" s="38" t="s">
        <v>799</v>
      </c>
    </row>
    <row r="25" customFormat="false" ht="15" hidden="false" customHeight="true" outlineLevel="0" collapsed="false">
      <c r="B25" s="122" t="s">
        <v>525</v>
      </c>
      <c r="C25" s="66" t="s">
        <v>801</v>
      </c>
      <c r="D25" s="69" t="n">
        <v>24</v>
      </c>
      <c r="E25" s="68" t="n">
        <v>44</v>
      </c>
      <c r="F25" s="69" t="s">
        <v>514</v>
      </c>
      <c r="G25" s="70" t="n">
        <f aca="false">IF($F25="","",IFERROR(LOOKUP(VALUE(LEFT($F25&amp;"",FIND("-",$F25&amp;"-")-1)),$C$50:$C$56,$D$50:$D$56),""))</f>
        <v>0</v>
      </c>
      <c r="H25" s="71"/>
      <c r="I25" s="72" t="str">
        <f aca="false">IF($H25="","n/a",IF($G25=$H25,"ok","MISMATCH"))</f>
        <v>n/a</v>
      </c>
      <c r="J25" s="73" t="n">
        <v>10000</v>
      </c>
      <c r="K25" s="16"/>
      <c r="M25" s="38" t="s">
        <v>525</v>
      </c>
    </row>
    <row r="26" customFormat="false" ht="15" hidden="false" customHeight="true" outlineLevel="0" collapsed="false">
      <c r="B26" s="121" t="s">
        <v>799</v>
      </c>
      <c r="C26" s="66" t="s">
        <v>802</v>
      </c>
      <c r="D26" s="69" t="n">
        <v>20</v>
      </c>
      <c r="E26" s="68" t="n">
        <v>24</v>
      </c>
      <c r="F26" s="69" t="s">
        <v>514</v>
      </c>
      <c r="G26" s="70" t="n">
        <f aca="false">IF($F26="","",IFERROR(LOOKUP(VALUE(LEFT($F26&amp;"",FIND("-",$F26&amp;"-")-1)),$C$50:$C$56,$D$50:$D$56),""))</f>
        <v>0</v>
      </c>
      <c r="H26" s="71"/>
      <c r="I26" s="72" t="str">
        <f aca="false">IF($H26="","n/a",IF($G26=$H26,"ok","MISMATCH"))</f>
        <v>n/a</v>
      </c>
      <c r="J26" s="73" t="n">
        <v>10000</v>
      </c>
      <c r="K26" s="16" t="s">
        <v>803</v>
      </c>
      <c r="M26" s="38" t="s">
        <v>799</v>
      </c>
    </row>
    <row r="27" customFormat="false" ht="15" hidden="false" customHeight="true" outlineLevel="0" collapsed="false">
      <c r="B27" s="121" t="s">
        <v>204</v>
      </c>
      <c r="C27" s="66" t="s">
        <v>804</v>
      </c>
      <c r="D27" s="69" t="n">
        <v>4</v>
      </c>
      <c r="E27" s="68" t="n">
        <v>4</v>
      </c>
      <c r="F27" s="69" t="s">
        <v>805</v>
      </c>
      <c r="G27" s="70" t="n">
        <f aca="false">IF($F27="","",IFERROR(LOOKUP(VALUE(LEFT($F27&amp;"",FIND("-",$F27&amp;"-")-1)),$C$50:$C$56,$D$50:$D$56),""))</f>
        <v>0</v>
      </c>
      <c r="H27" s="71" t="n">
        <v>0</v>
      </c>
      <c r="I27" s="72" t="str">
        <f aca="false">IF($H27="","n/a",IF($G27=$H27,"ok","MISMATCH"))</f>
        <v>ok</v>
      </c>
      <c r="J27" s="73" t="n">
        <v>8000</v>
      </c>
      <c r="K27" s="16"/>
      <c r="M27" s="38" t="s">
        <v>204</v>
      </c>
    </row>
    <row r="28" customFormat="false" ht="15" hidden="false" customHeight="true" outlineLevel="0" collapsed="false">
      <c r="B28" s="121" t="s">
        <v>184</v>
      </c>
      <c r="C28" s="66" t="s">
        <v>806</v>
      </c>
      <c r="D28" s="69" t="n">
        <v>7</v>
      </c>
      <c r="E28" s="68" t="n">
        <v>7</v>
      </c>
      <c r="F28" s="69" t="s">
        <v>805</v>
      </c>
      <c r="G28" s="70" t="n">
        <f aca="false">IF($F28="","",IFERROR(LOOKUP(VALUE(LEFT($F28&amp;"",FIND("-",$F28&amp;"-")-1)),$C$50:$C$56,$D$50:$D$56),""))</f>
        <v>0</v>
      </c>
      <c r="H28" s="71" t="n">
        <v>0</v>
      </c>
      <c r="I28" s="72" t="str">
        <f aca="false">IF($H28="","n/a",IF($G28=$H28,"ok","MISMATCH"))</f>
        <v>ok</v>
      </c>
      <c r="J28" s="73" t="n">
        <v>8000</v>
      </c>
      <c r="K28" s="16"/>
      <c r="M28" s="38" t="s">
        <v>184</v>
      </c>
    </row>
    <row r="29" customFormat="false" ht="15" hidden="false" customHeight="true" outlineLevel="0" collapsed="false">
      <c r="B29" s="121" t="s">
        <v>131</v>
      </c>
      <c r="C29" s="66" t="s">
        <v>807</v>
      </c>
      <c r="D29" s="69" t="n">
        <v>18</v>
      </c>
      <c r="E29" s="68" t="n">
        <v>19</v>
      </c>
      <c r="F29" s="69" t="s">
        <v>805</v>
      </c>
      <c r="G29" s="70" t="n">
        <f aca="false">IF($F29="","",IFERROR(LOOKUP(VALUE(LEFT($F29&amp;"",FIND("-",$F29&amp;"-")-1)),$C$50:$C$56,$D$50:$D$56),""))</f>
        <v>0</v>
      </c>
      <c r="H29" s="71" t="n">
        <v>0</v>
      </c>
      <c r="I29" s="72" t="str">
        <f aca="false">IF($H29="","n/a",IF($G29=$H29,"ok","MISMATCH"))</f>
        <v>ok</v>
      </c>
      <c r="J29" s="73" t="n">
        <v>8000</v>
      </c>
      <c r="K29" s="16"/>
      <c r="M29" s="38" t="s">
        <v>131</v>
      </c>
    </row>
    <row r="30" customFormat="false" ht="15" hidden="false" customHeight="true" outlineLevel="0" collapsed="false">
      <c r="B30" s="121" t="s">
        <v>161</v>
      </c>
      <c r="C30" s="66" t="s">
        <v>808</v>
      </c>
      <c r="D30" s="69" t="n">
        <v>5</v>
      </c>
      <c r="E30" s="68" t="n">
        <v>5</v>
      </c>
      <c r="F30" s="69" t="s">
        <v>805</v>
      </c>
      <c r="G30" s="70" t="n">
        <f aca="false">IF($F30="","",IFERROR(LOOKUP(VALUE(LEFT($F30&amp;"",FIND("-",$F30&amp;"-")-1)),$C$50:$C$56,$D$50:$D$56),""))</f>
        <v>0</v>
      </c>
      <c r="H30" s="71" t="n">
        <v>0</v>
      </c>
      <c r="I30" s="72" t="str">
        <f aca="false">IF($H30="","n/a",IF($G30=$H30,"ok","MISMATCH"))</f>
        <v>ok</v>
      </c>
      <c r="J30" s="73" t="n">
        <v>8000</v>
      </c>
      <c r="K30" s="16"/>
      <c r="M30" s="38" t="s">
        <v>161</v>
      </c>
    </row>
    <row r="31" customFormat="false" ht="15" hidden="false" customHeight="true" outlineLevel="0" collapsed="false">
      <c r="B31" s="122" t="s">
        <v>525</v>
      </c>
      <c r="C31" s="66" t="s">
        <v>809</v>
      </c>
      <c r="D31" s="69" t="n">
        <v>14</v>
      </c>
      <c r="E31" s="68" t="n">
        <v>14</v>
      </c>
      <c r="F31" s="69" t="s">
        <v>810</v>
      </c>
      <c r="G31" s="70" t="n">
        <f aca="false">IF($F31="","",IFERROR(LOOKUP(VALUE(LEFT($F31&amp;"",FIND("-",$F31&amp;"-")-1)),$C$50:$C$56,$D$50:$D$56),""))</f>
        <v>0</v>
      </c>
      <c r="H31" s="71"/>
      <c r="I31" s="72" t="str">
        <f aca="false">IF($H31="","n/a",IF($G31=$H31,"ok","MISMATCH"))</f>
        <v>n/a</v>
      </c>
      <c r="J31" s="73" t="n">
        <v>6000</v>
      </c>
      <c r="K31" s="16"/>
      <c r="M31" s="38" t="s">
        <v>525</v>
      </c>
    </row>
    <row r="32" customFormat="false" ht="15" hidden="false" customHeight="true" outlineLevel="0" collapsed="false">
      <c r="B32" s="121" t="s">
        <v>197</v>
      </c>
      <c r="C32" s="66" t="s">
        <v>811</v>
      </c>
      <c r="D32" s="69" t="n">
        <v>25</v>
      </c>
      <c r="E32" s="68" t="n">
        <v>45</v>
      </c>
      <c r="F32" s="69" t="s">
        <v>810</v>
      </c>
      <c r="G32" s="70" t="n">
        <f aca="false">IF($F32="","",IFERROR(LOOKUP(VALUE(LEFT($F32&amp;"",FIND("-",$F32&amp;"-")-1)),$C$50:$C$56,$D$50:$D$56),""))</f>
        <v>0</v>
      </c>
      <c r="H32" s="71" t="n">
        <v>0</v>
      </c>
      <c r="I32" s="72" t="str">
        <f aca="false">IF($H32="","n/a",IF($G32=$H32,"ok","MISMATCH"))</f>
        <v>ok</v>
      </c>
      <c r="J32" s="73" t="n">
        <v>6000</v>
      </c>
      <c r="K32" s="16"/>
      <c r="M32" s="38" t="s">
        <v>197</v>
      </c>
    </row>
    <row r="33" customFormat="false" ht="15" hidden="false" customHeight="true" outlineLevel="0" collapsed="false">
      <c r="B33" s="122" t="s">
        <v>525</v>
      </c>
      <c r="C33" s="66" t="s">
        <v>812</v>
      </c>
      <c r="D33" s="69" t="n">
        <v>28</v>
      </c>
      <c r="E33" s="68" t="n">
        <v>65</v>
      </c>
      <c r="F33" s="69" t="s">
        <v>810</v>
      </c>
      <c r="G33" s="70" t="n">
        <f aca="false">IF($F33="","",IFERROR(LOOKUP(VALUE(LEFT($F33&amp;"",FIND("-",$F33&amp;"-")-1)),$C$50:$C$56,$D$50:$D$56),""))</f>
        <v>0</v>
      </c>
      <c r="H33" s="71"/>
      <c r="I33" s="72" t="str">
        <f aca="false">IF($H33="","n/a",IF($G33=$H33,"ok","MISMATCH"))</f>
        <v>n/a</v>
      </c>
      <c r="J33" s="73" t="n">
        <v>6000</v>
      </c>
      <c r="K33" s="74" t="s">
        <v>813</v>
      </c>
      <c r="M33" s="38" t="s">
        <v>525</v>
      </c>
    </row>
    <row r="34" customFormat="false" ht="15" hidden="false" customHeight="true" outlineLevel="0" collapsed="false">
      <c r="B34" s="122" t="s">
        <v>525</v>
      </c>
      <c r="C34" s="66" t="s">
        <v>814</v>
      </c>
      <c r="D34" s="69" t="n">
        <v>11</v>
      </c>
      <c r="E34" s="68" t="n">
        <v>11</v>
      </c>
      <c r="F34" s="69" t="s">
        <v>810</v>
      </c>
      <c r="G34" s="70" t="n">
        <f aca="false">IF($F34="","",IFERROR(LOOKUP(VALUE(LEFT($F34&amp;"",FIND("-",$F34&amp;"-")-1)),$C$50:$C$56,$D$50:$D$56),""))</f>
        <v>0</v>
      </c>
      <c r="H34" s="71"/>
      <c r="I34" s="72" t="str">
        <f aca="false">IF($H34="","n/a",IF($G34=$H34,"ok","MISMATCH"))</f>
        <v>n/a</v>
      </c>
      <c r="J34" s="73" t="n">
        <v>6000</v>
      </c>
      <c r="K34" s="16"/>
      <c r="M34" s="38" t="s">
        <v>525</v>
      </c>
    </row>
    <row r="35" customFormat="false" ht="15" hidden="false" customHeight="true" outlineLevel="0" collapsed="false">
      <c r="B35" s="121" t="s">
        <v>187</v>
      </c>
      <c r="C35" s="66" t="s">
        <v>815</v>
      </c>
      <c r="D35" s="69" t="n">
        <v>23</v>
      </c>
      <c r="E35" s="68" t="n">
        <v>36</v>
      </c>
      <c r="F35" s="69" t="s">
        <v>816</v>
      </c>
      <c r="G35" s="70" t="n">
        <f aca="false">IF($F35="","",IFERROR(LOOKUP(VALUE(LEFT($F35&amp;"",FIND("-",$F35&amp;"-")-1)),$C$50:$C$56,$D$50:$D$56),""))</f>
        <v>0</v>
      </c>
      <c r="H35" s="71" t="n">
        <v>0</v>
      </c>
      <c r="I35" s="72" t="str">
        <f aca="false">IF($H35="","n/a",IF($G35=$H35,"ok","MISMATCH"))</f>
        <v>ok</v>
      </c>
      <c r="J35" s="73" t="n">
        <v>4000</v>
      </c>
      <c r="K35" s="16"/>
      <c r="M35" s="38" t="s">
        <v>187</v>
      </c>
    </row>
    <row r="36" customFormat="false" ht="15" hidden="false" customHeight="true" outlineLevel="0" collapsed="false">
      <c r="B36" s="121" t="s">
        <v>147</v>
      </c>
      <c r="C36" s="66" t="s">
        <v>817</v>
      </c>
      <c r="D36" s="69" t="n">
        <v>26</v>
      </c>
      <c r="E36" s="68" t="n">
        <v>48</v>
      </c>
      <c r="F36" s="69" t="s">
        <v>816</v>
      </c>
      <c r="G36" s="70" t="n">
        <f aca="false">IF($F36="","",IFERROR(LOOKUP(VALUE(LEFT($F36&amp;"",FIND("-",$F36&amp;"-")-1)),$C$50:$C$56,$D$50:$D$56),""))</f>
        <v>0</v>
      </c>
      <c r="H36" s="71" t="n">
        <v>0</v>
      </c>
      <c r="I36" s="72" t="str">
        <f aca="false">IF($H36="","n/a",IF($G36=$H36,"ok","MISMATCH"))</f>
        <v>ok</v>
      </c>
      <c r="J36" s="73" t="n">
        <v>4000</v>
      </c>
      <c r="K36" s="16"/>
      <c r="M36" s="38" t="s">
        <v>147</v>
      </c>
    </row>
    <row r="37" customFormat="false" ht="15" hidden="false" customHeight="true" outlineLevel="0" collapsed="false">
      <c r="B37" s="121" t="s">
        <v>500</v>
      </c>
      <c r="C37" s="66" t="s">
        <v>818</v>
      </c>
      <c r="D37" s="69" t="n">
        <v>22</v>
      </c>
      <c r="E37" s="68" t="n">
        <v>30</v>
      </c>
      <c r="F37" s="69" t="s">
        <v>816</v>
      </c>
      <c r="G37" s="70" t="n">
        <f aca="false">IF($F37="","",IFERROR(LOOKUP(VALUE(LEFT($F37&amp;"",FIND("-",$F37&amp;"-")-1)),$C$50:$C$56,$D$50:$D$56),""))</f>
        <v>0</v>
      </c>
      <c r="H37" s="71"/>
      <c r="I37" s="72" t="str">
        <f aca="false">IF($H37="","n/a",IF($G37=$H37,"ok","MISMATCH"))</f>
        <v>n/a</v>
      </c>
      <c r="J37" s="73" t="n">
        <v>4000</v>
      </c>
      <c r="K37" s="16" t="s">
        <v>819</v>
      </c>
      <c r="M37" s="76" t="s">
        <v>138</v>
      </c>
    </row>
    <row r="38" customFormat="false" ht="15" hidden="false" customHeight="true" outlineLevel="0" collapsed="false">
      <c r="B38" s="121" t="s">
        <v>131</v>
      </c>
      <c r="C38" s="66" t="s">
        <v>820</v>
      </c>
      <c r="D38" s="69" t="n">
        <v>29</v>
      </c>
      <c r="E38" s="68" t="n">
        <v>66</v>
      </c>
      <c r="F38" s="69" t="s">
        <v>816</v>
      </c>
      <c r="G38" s="70" t="n">
        <f aca="false">IF($F38="","",IFERROR(LOOKUP(VALUE(LEFT($F38&amp;"",FIND("-",$F38&amp;"-")-1)),$C$50:$C$56,$D$50:$D$56),""))</f>
        <v>0</v>
      </c>
      <c r="H38" s="71"/>
      <c r="I38" s="72" t="str">
        <f aca="false">IF($H38="","n/a",IF($G38=$H38,"ok","MISMATCH"))</f>
        <v>n/a</v>
      </c>
      <c r="J38" s="73" t="n">
        <v>4000</v>
      </c>
      <c r="K38" s="16" t="s">
        <v>821</v>
      </c>
      <c r="M38" s="38" t="s">
        <v>131</v>
      </c>
    </row>
    <row r="39" customFormat="false" ht="15" hidden="false" customHeight="true" outlineLevel="0" collapsed="false">
      <c r="B39" s="121" t="s">
        <v>263</v>
      </c>
      <c r="C39" s="66" t="s">
        <v>822</v>
      </c>
      <c r="D39" s="69" t="n">
        <v>32</v>
      </c>
      <c r="E39" s="68" t="n">
        <v>108</v>
      </c>
      <c r="F39" s="69" t="s">
        <v>823</v>
      </c>
      <c r="G39" s="70" t="n">
        <f aca="false">IF($F39="","",IFERROR(LOOKUP(VALUE(LEFT($F39&amp;"",FIND("-",$F39&amp;"-")-1)),$C$50:$C$56,$D$50:$D$56),""))</f>
        <v>0</v>
      </c>
      <c r="H39" s="71" t="n">
        <v>0</v>
      </c>
      <c r="I39" s="72" t="str">
        <f aca="false">IF($H39="","n/a",IF($G39=$H39,"ok","MISMATCH"))</f>
        <v>ok</v>
      </c>
      <c r="J39" s="73" t="n">
        <v>2000</v>
      </c>
      <c r="K39" s="16"/>
      <c r="M39" s="38" t="s">
        <v>263</v>
      </c>
    </row>
    <row r="40" customFormat="false" ht="15" hidden="false" customHeight="true" outlineLevel="0" collapsed="false">
      <c r="B40" s="121" t="s">
        <v>171</v>
      </c>
      <c r="C40" s="66" t="s">
        <v>824</v>
      </c>
      <c r="D40" s="69" t="n">
        <v>30</v>
      </c>
      <c r="E40" s="68" t="n">
        <v>68</v>
      </c>
      <c r="F40" s="69" t="s">
        <v>823</v>
      </c>
      <c r="G40" s="70" t="n">
        <f aca="false">IF($F40="","",IFERROR(LOOKUP(VALUE(LEFT($F40&amp;"",FIND("-",$F40&amp;"-")-1)),$C$50:$C$56,$D$50:$D$56),""))</f>
        <v>0</v>
      </c>
      <c r="H40" s="71" t="n">
        <v>0</v>
      </c>
      <c r="I40" s="72" t="str">
        <f aca="false">IF($H40="","n/a",IF($G40=$H40,"ok","MISMATCH"))</f>
        <v>ok</v>
      </c>
      <c r="J40" s="73" t="n">
        <v>2000</v>
      </c>
      <c r="K40" s="16" t="s">
        <v>825</v>
      </c>
      <c r="M40" s="38" t="s">
        <v>171</v>
      </c>
    </row>
    <row r="41" customFormat="false" ht="15" hidden="false" customHeight="true" outlineLevel="0" collapsed="false">
      <c r="B41" s="121" t="s">
        <v>191</v>
      </c>
      <c r="C41" s="66" t="s">
        <v>826</v>
      </c>
      <c r="D41" s="69" t="n">
        <v>27</v>
      </c>
      <c r="E41" s="68" t="n">
        <v>56</v>
      </c>
      <c r="F41" s="69" t="s">
        <v>823</v>
      </c>
      <c r="G41" s="70" t="n">
        <f aca="false">IF($F41="","",IFERROR(LOOKUP(VALUE(LEFT($F41&amp;"",FIND("-",$F41&amp;"-")-1)),$C$50:$C$56,$D$50:$D$56),""))</f>
        <v>0</v>
      </c>
      <c r="H41" s="71" t="n">
        <v>0</v>
      </c>
      <c r="I41" s="72" t="str">
        <f aca="false">IF($H41="","n/a",IF($G41=$H41,"ok","MISMATCH"))</f>
        <v>ok</v>
      </c>
      <c r="J41" s="73" t="n">
        <v>2000</v>
      </c>
      <c r="K41" s="16"/>
      <c r="M41" s="38" t="s">
        <v>191</v>
      </c>
    </row>
    <row r="42" customFormat="false" ht="15" hidden="false" customHeight="true" outlineLevel="0" collapsed="false">
      <c r="B42" s="121" t="s">
        <v>131</v>
      </c>
      <c r="C42" s="66" t="s">
        <v>827</v>
      </c>
      <c r="D42" s="69" t="n">
        <v>31</v>
      </c>
      <c r="E42" s="68" t="n">
        <v>95</v>
      </c>
      <c r="F42" s="69" t="s">
        <v>823</v>
      </c>
      <c r="G42" s="70" t="n">
        <f aca="false">IF($F42="","",IFERROR(LOOKUP(VALUE(LEFT($F42&amp;"",FIND("-",$F42&amp;"-")-1)),$C$50:$C$56,$D$50:$D$56),""))</f>
        <v>0</v>
      </c>
      <c r="H42" s="71"/>
      <c r="I42" s="72" t="str">
        <f aca="false">IF($H42="","n/a",IF($G42=$H42,"ok","MISMATCH"))</f>
        <v>n/a</v>
      </c>
      <c r="J42" s="73" t="n">
        <v>2000</v>
      </c>
      <c r="K42" s="16" t="s">
        <v>828</v>
      </c>
      <c r="M42" s="38" t="s">
        <v>131</v>
      </c>
    </row>
    <row r="44" customFormat="false" ht="15" hidden="false" customHeight="true" outlineLevel="0" collapsed="false">
      <c r="B44" s="11" t="s">
        <v>459</v>
      </c>
      <c r="G44" s="77" t="n">
        <f aca="false">SUM(G11:G42)</f>
        <v>3150</v>
      </c>
    </row>
    <row r="45" customFormat="false" ht="15" hidden="false" customHeight="true" outlineLevel="0" collapsed="false">
      <c r="B45" s="18" t="s">
        <v>829</v>
      </c>
    </row>
    <row r="48" customFormat="false" ht="15" hidden="false" customHeight="true" outlineLevel="0" collapsed="false">
      <c r="B48" s="11" t="s">
        <v>461</v>
      </c>
    </row>
    <row r="49" customFormat="false" ht="15" hidden="false" customHeight="true" outlineLevel="0" collapsed="false">
      <c r="B49" s="4" t="s">
        <v>463</v>
      </c>
      <c r="C49" s="4" t="s">
        <v>464</v>
      </c>
      <c r="D49" s="4" t="s">
        <v>465</v>
      </c>
    </row>
    <row r="50" customFormat="false" ht="15" hidden="false" customHeight="true" outlineLevel="0" collapsed="false">
      <c r="C50" s="13" t="n">
        <v>1</v>
      </c>
      <c r="D50" s="79" t="n">
        <v>1000</v>
      </c>
      <c r="E50" s="80" t="s">
        <v>466</v>
      </c>
    </row>
    <row r="51" customFormat="false" ht="15" hidden="false" customHeight="true" outlineLevel="0" collapsed="false">
      <c r="C51" s="13" t="n">
        <v>2</v>
      </c>
      <c r="D51" s="79" t="n">
        <v>750</v>
      </c>
      <c r="E51" s="80" t="s">
        <v>467</v>
      </c>
    </row>
    <row r="52" customFormat="false" ht="15" hidden="false" customHeight="true" outlineLevel="0" collapsed="false">
      <c r="C52" s="13" t="n">
        <v>3</v>
      </c>
      <c r="D52" s="79" t="n">
        <v>500</v>
      </c>
      <c r="E52" s="80" t="s">
        <v>468</v>
      </c>
    </row>
    <row r="53" customFormat="false" ht="15" hidden="false" customHeight="true" outlineLevel="0" collapsed="false">
      <c r="C53" s="13" t="n">
        <v>4</v>
      </c>
      <c r="D53" s="79" t="n">
        <v>300</v>
      </c>
      <c r="E53" s="80" t="s">
        <v>469</v>
      </c>
    </row>
    <row r="54" customFormat="false" ht="15" hidden="false" customHeight="true" outlineLevel="0" collapsed="false">
      <c r="C54" s="13" t="n">
        <v>5</v>
      </c>
      <c r="D54" s="79" t="n">
        <v>200</v>
      </c>
      <c r="E54" s="80" t="s">
        <v>830</v>
      </c>
    </row>
    <row r="55" customFormat="false" ht="15" hidden="false" customHeight="true" outlineLevel="0" collapsed="false">
      <c r="C55" s="13" t="n">
        <v>7</v>
      </c>
      <c r="D55" s="79" t="n">
        <v>100</v>
      </c>
      <c r="E55" s="80" t="s">
        <v>831</v>
      </c>
    </row>
    <row r="56" customFormat="false" ht="15" hidden="false" customHeight="true" outlineLevel="0" collapsed="false">
      <c r="C56" s="13" t="n">
        <v>9</v>
      </c>
      <c r="D56" s="79" t="n">
        <v>0</v>
      </c>
      <c r="E56" s="80" t="s">
        <v>832</v>
      </c>
    </row>
    <row r="59" customFormat="false" ht="15" hidden="false" customHeight="true" outlineLevel="0" collapsed="false">
      <c r="B59" s="11" t="s">
        <v>833</v>
      </c>
    </row>
    <row r="60" customFormat="false" ht="15" hidden="false" customHeight="true" outlineLevel="0" collapsed="false">
      <c r="B60" s="3" t="s">
        <v>834</v>
      </c>
      <c r="C60" s="3"/>
      <c r="D60" s="3"/>
      <c r="E60" s="3"/>
      <c r="F60" s="3"/>
      <c r="G60" s="3"/>
      <c r="H60" s="3"/>
      <c r="I60" s="3"/>
      <c r="J60" s="3"/>
      <c r="K60" s="3"/>
    </row>
    <row r="61" customFormat="false" ht="15" hidden="false" customHeight="true" outlineLevel="0" collapsed="false">
      <c r="B61" s="3"/>
      <c r="C61" s="3"/>
      <c r="D61" s="3"/>
      <c r="E61" s="3"/>
      <c r="F61" s="3"/>
      <c r="G61" s="3"/>
      <c r="H61" s="3"/>
      <c r="I61" s="3"/>
      <c r="J61" s="3"/>
      <c r="K61" s="3"/>
    </row>
    <row r="62" customFormat="false" ht="15" hidden="false" customHeight="true" outlineLevel="0" collapsed="false">
      <c r="B62" s="3"/>
      <c r="C62" s="3"/>
      <c r="D62" s="3"/>
      <c r="E62" s="3"/>
      <c r="F62" s="3"/>
      <c r="G62" s="3"/>
      <c r="H62" s="3"/>
      <c r="I62" s="3"/>
      <c r="J62" s="3"/>
      <c r="K62" s="3"/>
    </row>
    <row r="63" customFormat="false" ht="15" hidden="false" customHeight="true" outlineLevel="0" collapsed="false">
      <c r="B63" s="3"/>
      <c r="C63" s="3"/>
      <c r="D63" s="3"/>
      <c r="E63" s="3"/>
      <c r="F63" s="3"/>
      <c r="G63" s="3"/>
      <c r="H63" s="3"/>
      <c r="I63" s="3"/>
      <c r="J63" s="3"/>
      <c r="K63" s="3"/>
    </row>
    <row r="64" customFormat="false" ht="15" hidden="false" customHeight="true" outlineLevel="0" collapsed="false">
      <c r="B64" s="3"/>
      <c r="C64" s="3"/>
      <c r="D64" s="3"/>
      <c r="E64" s="3"/>
      <c r="F64" s="3"/>
      <c r="G64" s="3"/>
      <c r="H64" s="3"/>
      <c r="I64" s="3"/>
      <c r="J64" s="3"/>
      <c r="K64" s="3"/>
    </row>
    <row r="65" customFormat="false" ht="15" hidden="false" customHeight="true" outlineLevel="0" collapsed="false">
      <c r="B65" s="3"/>
      <c r="C65" s="3"/>
      <c r="D65" s="3"/>
      <c r="E65" s="3"/>
      <c r="F65" s="3"/>
      <c r="G65" s="3"/>
      <c r="H65" s="3"/>
      <c r="I65" s="3"/>
      <c r="J65" s="3"/>
      <c r="K65" s="3"/>
    </row>
    <row r="67" customFormat="false" ht="34.5" hidden="false" customHeight="true" outlineLevel="0" collapsed="false">
      <c r="B67" s="4" t="s">
        <v>541</v>
      </c>
      <c r="C67" s="4" t="s">
        <v>488</v>
      </c>
      <c r="D67" s="4" t="s">
        <v>777</v>
      </c>
      <c r="E67" s="4" t="s">
        <v>835</v>
      </c>
      <c r="F67" s="4" t="s">
        <v>544</v>
      </c>
    </row>
    <row r="68" customFormat="false" ht="15" hidden="false" customHeight="true" outlineLevel="0" collapsed="false">
      <c r="B68" s="13" t="n">
        <v>1</v>
      </c>
      <c r="C68" s="81" t="s">
        <v>790</v>
      </c>
      <c r="D68" s="68" t="n">
        <v>1</v>
      </c>
      <c r="E68" s="13" t="s">
        <v>506</v>
      </c>
      <c r="F68" s="95" t="n">
        <v>-8</v>
      </c>
    </row>
    <row r="69" customFormat="false" ht="15" hidden="false" customHeight="true" outlineLevel="0" collapsed="false">
      <c r="B69" s="13" t="n">
        <v>2</v>
      </c>
      <c r="C69" s="81" t="s">
        <v>785</v>
      </c>
      <c r="D69" s="68" t="n">
        <v>2</v>
      </c>
      <c r="E69" s="13" t="s">
        <v>784</v>
      </c>
      <c r="F69" s="95" t="n">
        <v>-3</v>
      </c>
    </row>
    <row r="70" customFormat="false" ht="15" hidden="false" customHeight="true" outlineLevel="0" collapsed="false">
      <c r="B70" s="13" t="n">
        <v>3</v>
      </c>
      <c r="C70" s="81" t="s">
        <v>793</v>
      </c>
      <c r="D70" s="68" t="n">
        <v>3</v>
      </c>
      <c r="E70" s="13" t="s">
        <v>506</v>
      </c>
      <c r="F70" s="95" t="n">
        <v>-6</v>
      </c>
    </row>
    <row r="71" customFormat="false" ht="15" hidden="false" customHeight="true" outlineLevel="0" collapsed="false">
      <c r="B71" s="13" t="n">
        <v>4</v>
      </c>
      <c r="C71" s="81" t="s">
        <v>804</v>
      </c>
      <c r="D71" s="68" t="n">
        <v>4</v>
      </c>
      <c r="E71" s="13" t="s">
        <v>805</v>
      </c>
      <c r="F71" s="95" t="n">
        <v>-13</v>
      </c>
    </row>
    <row r="72" customFormat="false" ht="15" hidden="false" customHeight="true" outlineLevel="0" collapsed="false">
      <c r="B72" s="13" t="n">
        <v>5</v>
      </c>
      <c r="C72" s="81" t="s">
        <v>808</v>
      </c>
      <c r="D72" s="68" t="n">
        <v>5</v>
      </c>
      <c r="E72" s="13" t="s">
        <v>805</v>
      </c>
      <c r="F72" s="95" t="n">
        <v>-12</v>
      </c>
    </row>
    <row r="73" customFormat="false" ht="15" hidden="false" customHeight="true" outlineLevel="0" collapsed="false">
      <c r="B73" s="13" t="n">
        <v>6</v>
      </c>
      <c r="C73" s="81" t="s">
        <v>783</v>
      </c>
      <c r="D73" s="68" t="n">
        <v>6</v>
      </c>
      <c r="E73" s="13" t="s">
        <v>784</v>
      </c>
      <c r="F73" s="96" t="n">
        <v>1</v>
      </c>
    </row>
    <row r="74" customFormat="false" ht="15" hidden="false" customHeight="true" outlineLevel="0" collapsed="false">
      <c r="B74" s="13" t="n">
        <v>7</v>
      </c>
      <c r="C74" s="81" t="s">
        <v>806</v>
      </c>
      <c r="D74" s="68" t="n">
        <v>7</v>
      </c>
      <c r="E74" s="13" t="s">
        <v>805</v>
      </c>
      <c r="F74" s="95" t="n">
        <v>-10</v>
      </c>
    </row>
    <row r="75" customFormat="false" ht="15" hidden="false" customHeight="true" outlineLevel="0" collapsed="false">
      <c r="B75" s="13" t="n">
        <v>8</v>
      </c>
      <c r="C75" s="81" t="s">
        <v>792</v>
      </c>
      <c r="D75" s="68" t="n">
        <v>8</v>
      </c>
      <c r="E75" s="13" t="s">
        <v>506</v>
      </c>
      <c r="F75" s="95" t="n">
        <v>-1</v>
      </c>
    </row>
    <row r="76" customFormat="false" ht="15" hidden="false" customHeight="true" outlineLevel="0" collapsed="false">
      <c r="B76" s="13" t="n">
        <v>9</v>
      </c>
      <c r="C76" s="81" t="s">
        <v>778</v>
      </c>
      <c r="D76" s="68" t="n">
        <v>9</v>
      </c>
      <c r="E76" s="13" t="s">
        <v>427</v>
      </c>
      <c r="F76" s="96" t="n">
        <v>8</v>
      </c>
    </row>
    <row r="77" customFormat="false" ht="15" hidden="false" customHeight="true" outlineLevel="0" collapsed="false">
      <c r="B77" s="13" t="n">
        <v>10</v>
      </c>
      <c r="C77" s="81" t="s">
        <v>786</v>
      </c>
      <c r="D77" s="68" t="n">
        <v>10</v>
      </c>
      <c r="E77" s="13" t="s">
        <v>787</v>
      </c>
      <c r="F77" s="96" t="n">
        <v>3</v>
      </c>
    </row>
    <row r="78" customFormat="false" ht="15" hidden="false" customHeight="true" outlineLevel="0" collapsed="false">
      <c r="B78" s="13" t="n">
        <v>11</v>
      </c>
      <c r="C78" s="81" t="s">
        <v>814</v>
      </c>
      <c r="D78" s="68" t="n">
        <v>11</v>
      </c>
      <c r="E78" s="13" t="s">
        <v>810</v>
      </c>
      <c r="F78" s="95" t="n">
        <v>-10</v>
      </c>
    </row>
    <row r="79" customFormat="false" ht="15" hidden="false" customHeight="true" outlineLevel="0" collapsed="false">
      <c r="B79" s="13" t="n">
        <v>12</v>
      </c>
      <c r="C79" s="81" t="s">
        <v>782</v>
      </c>
      <c r="D79" s="68" t="n">
        <v>12</v>
      </c>
      <c r="E79" s="13" t="s">
        <v>431</v>
      </c>
      <c r="F79" s="96" t="n">
        <v>8</v>
      </c>
    </row>
    <row r="80" customFormat="false" ht="15" hidden="false" customHeight="true" outlineLevel="0" collapsed="false">
      <c r="B80" s="13" t="n">
        <v>13</v>
      </c>
      <c r="C80" s="81" t="s">
        <v>781</v>
      </c>
      <c r="D80" s="68" t="n">
        <v>13</v>
      </c>
      <c r="E80" s="13" t="s">
        <v>430</v>
      </c>
      <c r="F80" s="96" t="n">
        <v>10</v>
      </c>
    </row>
    <row r="81" customFormat="false" ht="15" hidden="false" customHeight="true" outlineLevel="0" collapsed="false">
      <c r="B81" s="13" t="n">
        <v>14</v>
      </c>
      <c r="C81" s="81" t="s">
        <v>809</v>
      </c>
      <c r="D81" s="68" t="n">
        <v>14</v>
      </c>
      <c r="E81" s="13" t="s">
        <v>810</v>
      </c>
      <c r="F81" s="95" t="n">
        <v>-7</v>
      </c>
    </row>
    <row r="82" customFormat="false" ht="15" hidden="false" customHeight="true" outlineLevel="0" collapsed="false">
      <c r="B82" s="13" t="n">
        <v>15</v>
      </c>
      <c r="C82" s="81" t="s">
        <v>798</v>
      </c>
      <c r="D82" s="68" t="n">
        <v>16</v>
      </c>
      <c r="E82" s="13" t="s">
        <v>514</v>
      </c>
      <c r="F82" s="96" t="n">
        <v>2</v>
      </c>
    </row>
    <row r="83" customFormat="false" ht="15" hidden="false" customHeight="true" outlineLevel="0" collapsed="false">
      <c r="B83" s="13" t="n">
        <v>16</v>
      </c>
      <c r="C83" s="81" t="s">
        <v>789</v>
      </c>
      <c r="D83" s="68" t="n">
        <v>17</v>
      </c>
      <c r="E83" s="13" t="s">
        <v>787</v>
      </c>
      <c r="F83" s="96" t="n">
        <v>9</v>
      </c>
    </row>
    <row r="84" customFormat="false" ht="15" hidden="false" customHeight="true" outlineLevel="0" collapsed="false">
      <c r="B84" s="13" t="n">
        <v>17</v>
      </c>
      <c r="C84" s="81" t="s">
        <v>780</v>
      </c>
      <c r="D84" s="68" t="n">
        <v>18</v>
      </c>
      <c r="E84" s="13" t="s">
        <v>428</v>
      </c>
      <c r="F84" s="96" t="n">
        <v>15</v>
      </c>
    </row>
    <row r="85" customFormat="false" ht="15" hidden="false" customHeight="true" outlineLevel="0" collapsed="false">
      <c r="B85" s="13" t="n">
        <v>18</v>
      </c>
      <c r="C85" s="81" t="s">
        <v>807</v>
      </c>
      <c r="D85" s="68" t="n">
        <v>19</v>
      </c>
      <c r="E85" s="13" t="s">
        <v>805</v>
      </c>
      <c r="F85" s="96" t="n">
        <v>1</v>
      </c>
    </row>
    <row r="86" customFormat="false" ht="15" hidden="false" customHeight="true" outlineLevel="0" collapsed="false">
      <c r="B86" s="13" t="n">
        <v>19</v>
      </c>
      <c r="C86" s="81" t="s">
        <v>800</v>
      </c>
      <c r="D86" s="68" t="n">
        <v>20</v>
      </c>
      <c r="E86" s="13" t="s">
        <v>514</v>
      </c>
      <c r="F86" s="96" t="n">
        <v>6</v>
      </c>
    </row>
    <row r="87" customFormat="false" ht="15" hidden="false" customHeight="true" outlineLevel="0" collapsed="false">
      <c r="B87" s="13" t="n">
        <v>20</v>
      </c>
      <c r="C87" s="81" t="s">
        <v>802</v>
      </c>
      <c r="D87" s="68" t="n">
        <v>24</v>
      </c>
      <c r="E87" s="13" t="s">
        <v>514</v>
      </c>
      <c r="F87" s="96" t="n">
        <v>7</v>
      </c>
    </row>
    <row r="88" customFormat="false" ht="15" hidden="false" customHeight="true" outlineLevel="0" collapsed="false">
      <c r="B88" s="13" t="n">
        <v>21</v>
      </c>
      <c r="C88" s="81" t="s">
        <v>796</v>
      </c>
      <c r="D88" s="68" t="n">
        <v>26</v>
      </c>
      <c r="E88" s="13" t="s">
        <v>506</v>
      </c>
      <c r="F88" s="96" t="n">
        <v>12</v>
      </c>
    </row>
    <row r="89" customFormat="false" ht="15" hidden="false" customHeight="true" outlineLevel="0" collapsed="false">
      <c r="B89" s="13" t="n">
        <v>22</v>
      </c>
      <c r="C89" s="81" t="s">
        <v>818</v>
      </c>
      <c r="D89" s="68" t="n">
        <v>30</v>
      </c>
      <c r="E89" s="13" t="s">
        <v>816</v>
      </c>
      <c r="F89" s="95" t="n">
        <v>-3</v>
      </c>
    </row>
    <row r="90" customFormat="false" ht="15" hidden="false" customHeight="true" outlineLevel="0" collapsed="false">
      <c r="B90" s="13" t="n">
        <v>23</v>
      </c>
      <c r="C90" s="81" t="s">
        <v>815</v>
      </c>
      <c r="D90" s="68" t="n">
        <v>36</v>
      </c>
      <c r="E90" s="13" t="s">
        <v>816</v>
      </c>
      <c r="F90" s="95" t="n">
        <v>-2</v>
      </c>
    </row>
    <row r="91" customFormat="false" ht="15" hidden="false" customHeight="true" outlineLevel="0" collapsed="false">
      <c r="B91" s="13" t="n">
        <v>24</v>
      </c>
      <c r="C91" s="81" t="s">
        <v>801</v>
      </c>
      <c r="D91" s="68" t="n">
        <v>44</v>
      </c>
      <c r="E91" s="13" t="s">
        <v>514</v>
      </c>
      <c r="F91" s="96" t="n">
        <v>11</v>
      </c>
    </row>
    <row r="92" customFormat="false" ht="15" hidden="false" customHeight="true" outlineLevel="0" collapsed="false">
      <c r="B92" s="13" t="n">
        <v>25</v>
      </c>
      <c r="C92" s="81" t="s">
        <v>811</v>
      </c>
      <c r="D92" s="68" t="n">
        <v>45</v>
      </c>
      <c r="E92" s="13" t="s">
        <v>810</v>
      </c>
      <c r="F92" s="96" t="n">
        <v>4</v>
      </c>
    </row>
    <row r="93" customFormat="false" ht="15" hidden="false" customHeight="true" outlineLevel="0" collapsed="false">
      <c r="B93" s="13" t="n">
        <v>26</v>
      </c>
      <c r="C93" s="81" t="s">
        <v>817</v>
      </c>
      <c r="D93" s="68" t="n">
        <v>48</v>
      </c>
      <c r="E93" s="13" t="s">
        <v>816</v>
      </c>
      <c r="F93" s="96" t="n">
        <v>1</v>
      </c>
    </row>
    <row r="94" customFormat="false" ht="15" hidden="false" customHeight="true" outlineLevel="0" collapsed="false">
      <c r="B94" s="13" t="n">
        <v>27</v>
      </c>
      <c r="C94" s="81" t="s">
        <v>826</v>
      </c>
      <c r="D94" s="68" t="n">
        <v>56</v>
      </c>
      <c r="E94" s="13" t="s">
        <v>823</v>
      </c>
      <c r="F94" s="95" t="n">
        <v>-2</v>
      </c>
    </row>
    <row r="95" customFormat="false" ht="15" hidden="false" customHeight="true" outlineLevel="0" collapsed="false">
      <c r="B95" s="13" t="n">
        <v>28</v>
      </c>
      <c r="C95" s="81" t="s">
        <v>812</v>
      </c>
      <c r="D95" s="68" t="n">
        <v>65</v>
      </c>
      <c r="E95" s="13" t="s">
        <v>810</v>
      </c>
      <c r="F95" s="96" t="n">
        <v>7</v>
      </c>
    </row>
    <row r="96" customFormat="false" ht="15" hidden="false" customHeight="true" outlineLevel="0" collapsed="false">
      <c r="B96" s="13" t="n">
        <v>29</v>
      </c>
      <c r="C96" s="81" t="s">
        <v>820</v>
      </c>
      <c r="D96" s="68" t="n">
        <v>66</v>
      </c>
      <c r="E96" s="13" t="s">
        <v>816</v>
      </c>
      <c r="F96" s="96" t="n">
        <v>4</v>
      </c>
    </row>
    <row r="97" customFormat="false" ht="15" hidden="false" customHeight="true" outlineLevel="0" collapsed="false">
      <c r="B97" s="13" t="n">
        <v>30</v>
      </c>
      <c r="C97" s="81" t="s">
        <v>824</v>
      </c>
      <c r="D97" s="68" t="n">
        <v>68</v>
      </c>
      <c r="E97" s="13" t="s">
        <v>823</v>
      </c>
      <c r="F97" s="96" t="n">
        <v>1</v>
      </c>
    </row>
    <row r="98" customFormat="false" ht="15" hidden="false" customHeight="true" outlineLevel="0" collapsed="false">
      <c r="B98" s="13" t="n">
        <v>31</v>
      </c>
      <c r="C98" s="81" t="s">
        <v>827</v>
      </c>
      <c r="D98" s="68" t="n">
        <v>95</v>
      </c>
      <c r="E98" s="13" t="s">
        <v>823</v>
      </c>
      <c r="F98" s="96" t="n">
        <v>2</v>
      </c>
    </row>
    <row r="99" customFormat="false" ht="15" hidden="false" customHeight="true" outlineLevel="0" collapsed="false">
      <c r="B99" s="13" t="n">
        <v>32</v>
      </c>
      <c r="C99" s="81" t="s">
        <v>822</v>
      </c>
      <c r="D99" s="68" t="n">
        <v>108</v>
      </c>
      <c r="E99" s="13" t="s">
        <v>823</v>
      </c>
      <c r="F99" s="96" t="n">
        <v>3</v>
      </c>
    </row>
  </sheetData>
  <sheetProtection sheet="true" formatCells="false" selectLockedCells="true" selectUnlockedCells="true"/>
  <mergeCells count="1">
    <mergeCell ref="B60:K65"/>
  </mergeCells>
  <dataValidations count="1">
    <dataValidation allowBlank="true" error="Pick a placement from the list — free text breaks the points lookup." errorStyle="stop" errorTitle="Use the dropdown" operator="between" showDropDown="false" showErrorMessage="false" showInputMessage="false" sqref="F11:F42" type="list">
      <formula1>"1,2,3,4,5-6,7-8,9-12,13-16,17-20,21-24,25-28,29-32"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0" topLeftCell="D11" activePane="bottomRight" state="frozen"/>
      <selection pane="topLeft" activeCell="A1" activeCellId="0" sqref="A1"/>
      <selection pane="topRight" activeCell="D1" activeCellId="0" sqref="D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3" min="3" style="1" width="17"/>
    <col collapsed="false" customWidth="true" hidden="false" outlineLevel="0" max="4" min="4" style="1" width="8"/>
    <col collapsed="false" customWidth="true" hidden="false" outlineLevel="0" max="5" min="5" style="1" width="10"/>
    <col collapsed="false" customWidth="true" hidden="false" outlineLevel="0" max="6" min="6" style="1" width="11"/>
    <col collapsed="false" customWidth="true" hidden="false" outlineLevel="0" max="8" min="7" style="1" width="12"/>
    <col collapsed="false" customWidth="true" hidden="false" outlineLevel="0" max="9" min="9" style="1" width="15"/>
    <col collapsed="false" customWidth="true" hidden="false" outlineLevel="0" max="10" min="10" style="1" width="10"/>
    <col collapsed="false" customWidth="true" hidden="false" outlineLevel="0" max="11" min="11" style="1" width="12"/>
    <col collapsed="false" customWidth="true" hidden="false" outlineLevel="0" max="12" min="12" style="1" width="42"/>
  </cols>
  <sheetData>
    <row r="2" customFormat="false" ht="18" hidden="false" customHeight="true" outlineLevel="0" collapsed="false">
      <c r="B2" s="2" t="s">
        <v>836</v>
      </c>
    </row>
    <row r="3" customFormat="false" ht="15" hidden="false" customHeight="true" outlineLevel="0" collapsed="false">
      <c r="B3" s="18" t="s">
        <v>837</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838</v>
      </c>
      <c r="D6" s="28" t="s">
        <v>839</v>
      </c>
      <c r="F6" s="28" t="s">
        <v>840</v>
      </c>
      <c r="H6" s="28" t="s">
        <v>841</v>
      </c>
      <c r="J6" s="28" t="s">
        <v>842</v>
      </c>
      <c r="L6" s="28" t="s">
        <v>843</v>
      </c>
    </row>
    <row r="8" customFormat="false" ht="15" hidden="false" customHeight="true" outlineLevel="0" collapsed="false">
      <c r="B8" s="11" t="s">
        <v>416</v>
      </c>
    </row>
    <row r="9" customFormat="false" ht="15" hidden="false" customHeight="true" outlineLevel="0" collapsed="false">
      <c r="B9" s="18" t="s">
        <v>844</v>
      </c>
    </row>
    <row r="10" customFormat="false" ht="34.5" hidden="false" customHeight="true" outlineLevel="0" collapsed="false">
      <c r="B10" s="4" t="s">
        <v>418</v>
      </c>
      <c r="C10" s="4" t="s">
        <v>845</v>
      </c>
      <c r="D10" s="4" t="s">
        <v>541</v>
      </c>
      <c r="E10" s="4" t="s">
        <v>846</v>
      </c>
      <c r="F10" s="4" t="s">
        <v>847</v>
      </c>
      <c r="G10" s="4" t="s">
        <v>421</v>
      </c>
      <c r="H10" s="4" t="s">
        <v>422</v>
      </c>
      <c r="I10" s="4" t="s">
        <v>423</v>
      </c>
      <c r="J10" s="4" t="s">
        <v>424</v>
      </c>
      <c r="K10" s="4" t="s">
        <v>425</v>
      </c>
      <c r="L10" s="4" t="s">
        <v>41</v>
      </c>
      <c r="N10" s="4" t="s">
        <v>426</v>
      </c>
    </row>
    <row r="11" customFormat="false" ht="15" hidden="false" customHeight="true" outlineLevel="0" collapsed="false">
      <c r="B11" s="29" t="s">
        <v>382</v>
      </c>
      <c r="C11" s="124" t="s">
        <v>848</v>
      </c>
      <c r="D11" s="32" t="n">
        <v>1</v>
      </c>
      <c r="E11" s="31" t="n">
        <v>2</v>
      </c>
      <c r="F11" s="34" t="n">
        <v>14510</v>
      </c>
      <c r="G11" s="32" t="s">
        <v>427</v>
      </c>
      <c r="H11" s="33" t="n">
        <f aca="false">IF($G11="","",IFERROR(LOOKUP(VALUE(LEFT($G11&amp;"",FIND("-",$G11&amp;"-")-1)),$C$40:$C$45,$D$40:$D$45),""))</f>
        <v>1000</v>
      </c>
      <c r="I11" s="34" t="n">
        <v>1000</v>
      </c>
      <c r="J11" s="35" t="str">
        <f aca="false">IF($I11="","n/a",IF($H11=$I11,"ok","MISMATCH"))</f>
        <v>ok</v>
      </c>
      <c r="K11" s="36" t="n">
        <v>750000</v>
      </c>
      <c r="L11" s="85" t="s">
        <v>849</v>
      </c>
      <c r="N11" s="38" t="s">
        <v>382</v>
      </c>
    </row>
    <row r="12" customFormat="false" ht="15" hidden="false" customHeight="true" outlineLevel="0" collapsed="false">
      <c r="B12" s="39" t="s">
        <v>346</v>
      </c>
      <c r="C12" s="125" t="s">
        <v>850</v>
      </c>
      <c r="D12" s="42" t="n">
        <v>8</v>
      </c>
      <c r="E12" s="41" t="n">
        <v>9</v>
      </c>
      <c r="F12" s="44" t="n">
        <v>2860</v>
      </c>
      <c r="G12" s="42" t="s">
        <v>428</v>
      </c>
      <c r="H12" s="43" t="n">
        <f aca="false">IF($G12="","",IFERROR(LOOKUP(VALUE(LEFT($G12&amp;"",FIND("-",$G12&amp;"-")-1)),$C$40:$C$45,$D$40:$D$45),""))</f>
        <v>750</v>
      </c>
      <c r="I12" s="44" t="n">
        <v>750</v>
      </c>
      <c r="J12" s="45" t="str">
        <f aca="false">IF($I12="","n/a",IF($H12=$I12,"ok","MISMATCH"))</f>
        <v>ok</v>
      </c>
      <c r="K12" s="46" t="n">
        <v>340000</v>
      </c>
      <c r="L12" s="87" t="s">
        <v>851</v>
      </c>
      <c r="N12" s="38" t="s">
        <v>346</v>
      </c>
    </row>
    <row r="13" customFormat="false" ht="15" hidden="false" customHeight="true" outlineLevel="0" collapsed="false">
      <c r="B13" s="48" t="s">
        <v>390</v>
      </c>
      <c r="C13" s="126" t="s">
        <v>390</v>
      </c>
      <c r="D13" s="51" t="n">
        <v>4</v>
      </c>
      <c r="E13" s="50" t="n">
        <v>5</v>
      </c>
      <c r="F13" s="53" t="n">
        <v>10400</v>
      </c>
      <c r="G13" s="51" t="s">
        <v>430</v>
      </c>
      <c r="H13" s="52" t="n">
        <f aca="false">IF($G13="","",IFERROR(LOOKUP(VALUE(LEFT($G13&amp;"",FIND("-",$G13&amp;"-")-1)),$C$40:$C$45,$D$40:$D$45),""))</f>
        <v>500</v>
      </c>
      <c r="I13" s="53" t="n">
        <v>500</v>
      </c>
      <c r="J13" s="54" t="str">
        <f aca="false">IF($I13="","n/a",IF($H13=$I13,"ok","MISMATCH"))</f>
        <v>ok</v>
      </c>
      <c r="K13" s="55" t="n">
        <v>200000</v>
      </c>
      <c r="L13" s="89"/>
      <c r="N13" s="38" t="s">
        <v>390</v>
      </c>
    </row>
    <row r="14" customFormat="false" ht="15" hidden="false" customHeight="true" outlineLevel="0" collapsed="false">
      <c r="B14" s="57" t="s">
        <v>852</v>
      </c>
      <c r="C14" s="127" t="s">
        <v>852</v>
      </c>
      <c r="D14" s="60" t="n">
        <v>14</v>
      </c>
      <c r="E14" s="59" t="n">
        <v>16</v>
      </c>
      <c r="F14" s="62" t="n">
        <v>655</v>
      </c>
      <c r="G14" s="60" t="s">
        <v>431</v>
      </c>
      <c r="H14" s="61" t="n">
        <f aca="false">IF($G14="","",IFERROR(LOOKUP(VALUE(LEFT($G14&amp;"",FIND("-",$G14&amp;"-")-1)),$C$40:$C$45,$D$40:$D$45),""))</f>
        <v>300</v>
      </c>
      <c r="I14" s="62" t="n">
        <v>300</v>
      </c>
      <c r="J14" s="63" t="str">
        <f aca="false">IF($I14="","n/a",IF($H14=$I14,"ok","MISMATCH"))</f>
        <v>ok</v>
      </c>
      <c r="K14" s="64" t="n">
        <v>120000</v>
      </c>
      <c r="L14" s="91" t="s">
        <v>853</v>
      </c>
      <c r="N14" s="38" t="s">
        <v>852</v>
      </c>
    </row>
    <row r="15" customFormat="false" ht="15" hidden="false" customHeight="true" outlineLevel="0" collapsed="false">
      <c r="B15" s="57" t="s">
        <v>380</v>
      </c>
      <c r="C15" s="127" t="s">
        <v>380</v>
      </c>
      <c r="D15" s="60" t="n">
        <v>15</v>
      </c>
      <c r="E15" s="59" t="n">
        <v>17</v>
      </c>
      <c r="F15" s="62" t="n">
        <v>640</v>
      </c>
      <c r="G15" s="60" t="s">
        <v>432</v>
      </c>
      <c r="H15" s="61" t="n">
        <f aca="false">IF($G15="","",IFERROR(LOOKUP(VALUE(LEFT($G15&amp;"",FIND("-",$G15&amp;"-")-1)),$C$40:$C$45,$D$40:$D$45),""))</f>
        <v>200</v>
      </c>
      <c r="I15" s="62" t="n">
        <v>200</v>
      </c>
      <c r="J15" s="63" t="str">
        <f aca="false">IF($I15="","n/a",IF($H15=$I15,"ok","MISMATCH"))</f>
        <v>ok</v>
      </c>
      <c r="K15" s="64" t="n">
        <v>70000</v>
      </c>
      <c r="L15" s="91"/>
      <c r="N15" s="38" t="s">
        <v>380</v>
      </c>
    </row>
    <row r="16" customFormat="false" ht="15" hidden="false" customHeight="true" outlineLevel="0" collapsed="false">
      <c r="B16" s="57" t="s">
        <v>114</v>
      </c>
      <c r="C16" s="127" t="s">
        <v>114</v>
      </c>
      <c r="D16" s="60" t="n">
        <v>6</v>
      </c>
      <c r="E16" s="59" t="n">
        <v>7</v>
      </c>
      <c r="F16" s="62" t="n">
        <v>8125</v>
      </c>
      <c r="G16" s="60" t="s">
        <v>432</v>
      </c>
      <c r="H16" s="61" t="n">
        <f aca="false">IF($G16="","",IFERROR(LOOKUP(VALUE(LEFT($G16&amp;"",FIND("-",$G16&amp;"-")-1)),$C$40:$C$45,$D$40:$D$45),""))</f>
        <v>200</v>
      </c>
      <c r="I16" s="62" t="n">
        <v>200</v>
      </c>
      <c r="J16" s="63" t="str">
        <f aca="false">IF($I16="","n/a",IF($H16=$I16,"ok","MISMATCH"))</f>
        <v>ok</v>
      </c>
      <c r="K16" s="64" t="n">
        <v>70000</v>
      </c>
      <c r="L16" s="91"/>
      <c r="N16" s="38" t="s">
        <v>114</v>
      </c>
    </row>
    <row r="17" customFormat="false" ht="15" hidden="false" customHeight="true" outlineLevel="0" collapsed="false">
      <c r="B17" s="57" t="s">
        <v>175</v>
      </c>
      <c r="C17" s="127" t="s">
        <v>175</v>
      </c>
      <c r="D17" s="60" t="n">
        <v>5</v>
      </c>
      <c r="E17" s="59" t="n">
        <v>6</v>
      </c>
      <c r="F17" s="62" t="n">
        <v>10300</v>
      </c>
      <c r="G17" s="60" t="s">
        <v>432</v>
      </c>
      <c r="H17" s="61" t="n">
        <f aca="false">IF($G17="","",IFERROR(LOOKUP(VALUE(LEFT($G17&amp;"",FIND("-",$G17&amp;"-")-1)),$C$40:$C$45,$D$40:$D$45),""))</f>
        <v>200</v>
      </c>
      <c r="I17" s="62" t="n">
        <v>200</v>
      </c>
      <c r="J17" s="63" t="str">
        <f aca="false">IF($I17="","n/a",IF($H17=$I17,"ok","MISMATCH"))</f>
        <v>ok</v>
      </c>
      <c r="K17" s="64" t="n">
        <v>70000</v>
      </c>
      <c r="L17" s="91"/>
      <c r="N17" s="38" t="s">
        <v>175</v>
      </c>
    </row>
    <row r="18" customFormat="false" ht="15" hidden="false" customHeight="true" outlineLevel="0" collapsed="false">
      <c r="B18" s="57" t="s">
        <v>854</v>
      </c>
      <c r="C18" s="127" t="s">
        <v>854</v>
      </c>
      <c r="D18" s="60" t="n">
        <v>20</v>
      </c>
      <c r="E18" s="128" t="s">
        <v>93</v>
      </c>
      <c r="F18" s="62"/>
      <c r="G18" s="60" t="s">
        <v>432</v>
      </c>
      <c r="H18" s="61" t="n">
        <f aca="false">IF($G18="","",IFERROR(LOOKUP(VALUE(LEFT($G18&amp;"",FIND("-",$G18&amp;"-")-1)),$C$40:$C$45,$D$40:$D$45),""))</f>
        <v>200</v>
      </c>
      <c r="I18" s="62"/>
      <c r="J18" s="63" t="str">
        <f aca="false">IF($I18="","n/a",IF($H18=$I18,"ok","MISMATCH"))</f>
        <v>n/a</v>
      </c>
      <c r="K18" s="64" t="n">
        <v>70000</v>
      </c>
      <c r="L18" s="129" t="s">
        <v>855</v>
      </c>
      <c r="N18" s="38" t="s">
        <v>856</v>
      </c>
    </row>
    <row r="19" customFormat="false" ht="15" hidden="false" customHeight="true" outlineLevel="0" collapsed="false">
      <c r="B19" s="66" t="s">
        <v>222</v>
      </c>
      <c r="C19" s="80" t="s">
        <v>222</v>
      </c>
      <c r="D19" s="69" t="n">
        <v>21</v>
      </c>
      <c r="E19" s="97" t="s">
        <v>93</v>
      </c>
      <c r="F19" s="71"/>
      <c r="G19" s="69" t="s">
        <v>506</v>
      </c>
      <c r="H19" s="70" t="n">
        <f aca="false">IF($G19="","",IFERROR(LOOKUP(VALUE(LEFT($G19&amp;"",FIND("-",$G19&amp;"-")-1)),$C$40:$C$45,$D$40:$D$45),""))</f>
        <v>0</v>
      </c>
      <c r="I19" s="71"/>
      <c r="J19" s="72" t="str">
        <f aca="false">IF($I19="","n/a",IF($H19=$I19,"ok","MISMATCH"))</f>
        <v>n/a</v>
      </c>
      <c r="K19" s="73" t="n">
        <v>40000</v>
      </c>
      <c r="L19" s="16" t="s">
        <v>857</v>
      </c>
      <c r="N19" s="38" t="s">
        <v>222</v>
      </c>
    </row>
    <row r="20" customFormat="false" ht="15" hidden="false" customHeight="true" outlineLevel="0" collapsed="false">
      <c r="B20" s="66" t="s">
        <v>338</v>
      </c>
      <c r="C20" s="80" t="s">
        <v>858</v>
      </c>
      <c r="D20" s="69" t="n">
        <v>18</v>
      </c>
      <c r="E20" s="68" t="n">
        <v>22</v>
      </c>
      <c r="F20" s="71" t="n">
        <v>140</v>
      </c>
      <c r="G20" s="69" t="s">
        <v>506</v>
      </c>
      <c r="H20" s="70" t="n">
        <f aca="false">IF($G20="","",IFERROR(LOOKUP(VALUE(LEFT($G20&amp;"",FIND("-",$G20&amp;"-")-1)),$C$40:$C$45,$D$40:$D$45),""))</f>
        <v>0</v>
      </c>
      <c r="I20" s="71"/>
      <c r="J20" s="72" t="str">
        <f aca="false">IF($I20="","n/a",IF($H20=$I20,"ok","MISMATCH"))</f>
        <v>n/a</v>
      </c>
      <c r="K20" s="73" t="n">
        <v>40000</v>
      </c>
      <c r="L20" s="16"/>
      <c r="N20" s="38" t="s">
        <v>338</v>
      </c>
    </row>
    <row r="21" customFormat="false" ht="15" hidden="false" customHeight="true" outlineLevel="0" collapsed="false">
      <c r="B21" s="66" t="s">
        <v>141</v>
      </c>
      <c r="C21" s="80" t="s">
        <v>141</v>
      </c>
      <c r="D21" s="69" t="n">
        <v>7</v>
      </c>
      <c r="E21" s="68" t="n">
        <v>8</v>
      </c>
      <c r="F21" s="71" t="n">
        <v>4650</v>
      </c>
      <c r="G21" s="69" t="s">
        <v>506</v>
      </c>
      <c r="H21" s="70" t="n">
        <f aca="false">IF($G21="","",IFERROR(LOOKUP(VALUE(LEFT($G21&amp;"",FIND("-",$G21&amp;"-")-1)),$C$40:$C$45,$D$40:$D$45),""))</f>
        <v>0</v>
      </c>
      <c r="I21" s="71" t="n">
        <v>0</v>
      </c>
      <c r="J21" s="72" t="str">
        <f aca="false">IF($I21="","n/a",IF($H21=$I21,"ok","MISMATCH"))</f>
        <v>ok</v>
      </c>
      <c r="K21" s="73" t="n">
        <v>40000</v>
      </c>
      <c r="L21" s="16"/>
      <c r="N21" s="38" t="s">
        <v>141</v>
      </c>
    </row>
    <row r="22" customFormat="false" ht="15" hidden="false" customHeight="true" outlineLevel="0" collapsed="false">
      <c r="B22" s="66" t="s">
        <v>157</v>
      </c>
      <c r="C22" s="80" t="s">
        <v>157</v>
      </c>
      <c r="D22" s="69" t="n">
        <v>2</v>
      </c>
      <c r="E22" s="68" t="n">
        <v>3</v>
      </c>
      <c r="F22" s="71" t="n">
        <v>13230</v>
      </c>
      <c r="G22" s="69" t="s">
        <v>506</v>
      </c>
      <c r="H22" s="70" t="n">
        <f aca="false">IF($G22="","",IFERROR(LOOKUP(VALUE(LEFT($G22&amp;"",FIND("-",$G22&amp;"-")-1)),$C$40:$C$45,$D$40:$D$45),""))</f>
        <v>0</v>
      </c>
      <c r="I22" s="71" t="n">
        <v>0</v>
      </c>
      <c r="J22" s="72" t="str">
        <f aca="false">IF($I22="","n/a",IF($H22=$I22,"ok","MISMATCH"))</f>
        <v>ok</v>
      </c>
      <c r="K22" s="73" t="n">
        <v>40000</v>
      </c>
      <c r="L22" s="16" t="s">
        <v>859</v>
      </c>
      <c r="N22" s="38" t="s">
        <v>157</v>
      </c>
    </row>
    <row r="23" customFormat="false" ht="15" hidden="false" customHeight="true" outlineLevel="0" collapsed="false">
      <c r="B23" s="66" t="s">
        <v>224</v>
      </c>
      <c r="C23" s="80" t="s">
        <v>224</v>
      </c>
      <c r="D23" s="69" t="n">
        <v>9</v>
      </c>
      <c r="E23" s="68" t="n">
        <v>10</v>
      </c>
      <c r="F23" s="71" t="n">
        <v>2760</v>
      </c>
      <c r="G23" s="69" t="s">
        <v>514</v>
      </c>
      <c r="H23" s="70" t="n">
        <f aca="false">IF($G23="","",IFERROR(LOOKUP(VALUE(LEFT($G23&amp;"",FIND("-",$G23&amp;"-")-1)),$C$40:$C$45,$D$40:$D$45),""))</f>
        <v>0</v>
      </c>
      <c r="I23" s="71" t="n">
        <v>0</v>
      </c>
      <c r="J23" s="72" t="str">
        <f aca="false">IF($I23="","n/a",IF($H23=$I23,"ok","MISMATCH"))</f>
        <v>ok</v>
      </c>
      <c r="K23" s="73" t="n">
        <v>20000</v>
      </c>
      <c r="L23" s="16"/>
      <c r="N23" s="38" t="s">
        <v>224</v>
      </c>
    </row>
    <row r="24" customFormat="false" ht="15" hidden="false" customHeight="true" outlineLevel="0" collapsed="false">
      <c r="B24" s="66" t="s">
        <v>860</v>
      </c>
      <c r="C24" s="80" t="s">
        <v>861</v>
      </c>
      <c r="D24" s="69" t="n">
        <v>10</v>
      </c>
      <c r="E24" s="68" t="n">
        <v>11</v>
      </c>
      <c r="F24" s="71" t="n">
        <v>2662</v>
      </c>
      <c r="G24" s="69" t="s">
        <v>514</v>
      </c>
      <c r="H24" s="70" t="n">
        <f aca="false">IF($G24="","",IFERROR(LOOKUP(VALUE(LEFT($G24&amp;"",FIND("-",$G24&amp;"-")-1)),$C$40:$C$45,$D$40:$D$45),""))</f>
        <v>0</v>
      </c>
      <c r="I24" s="71"/>
      <c r="J24" s="72" t="str">
        <f aca="false">IF($I24="","n/a",IF($H24=$I24,"ok","MISMATCH"))</f>
        <v>n/a</v>
      </c>
      <c r="K24" s="73" t="n">
        <v>20000</v>
      </c>
      <c r="L24" s="16"/>
      <c r="N24" s="38" t="s">
        <v>860</v>
      </c>
    </row>
    <row r="25" customFormat="false" ht="15" hidden="false" customHeight="true" outlineLevel="0" collapsed="false">
      <c r="B25" s="66" t="s">
        <v>862</v>
      </c>
      <c r="C25" s="80" t="s">
        <v>862</v>
      </c>
      <c r="D25" s="69" t="n">
        <v>3</v>
      </c>
      <c r="E25" s="68" t="n">
        <v>4</v>
      </c>
      <c r="F25" s="71" t="n">
        <v>10560</v>
      </c>
      <c r="G25" s="69" t="s">
        <v>514</v>
      </c>
      <c r="H25" s="70" t="n">
        <f aca="false">IF($G25="","",IFERROR(LOOKUP(VALUE(LEFT($G25&amp;"",FIND("-",$G25&amp;"-")-1)),$C$40:$C$45,$D$40:$D$45),""))</f>
        <v>0</v>
      </c>
      <c r="I25" s="71"/>
      <c r="J25" s="72" t="str">
        <f aca="false">IF($I25="","n/a",IF($H25=$I25,"ok","MISMATCH"))</f>
        <v>n/a</v>
      </c>
      <c r="K25" s="73" t="n">
        <v>20000</v>
      </c>
      <c r="L25" s="16" t="s">
        <v>863</v>
      </c>
      <c r="N25" s="38" t="s">
        <v>862</v>
      </c>
    </row>
    <row r="26" customFormat="false" ht="15" hidden="false" customHeight="true" outlineLevel="0" collapsed="false">
      <c r="B26" s="66" t="s">
        <v>123</v>
      </c>
      <c r="C26" s="80" t="s">
        <v>123</v>
      </c>
      <c r="D26" s="69" t="n">
        <v>12</v>
      </c>
      <c r="E26" s="68" t="n">
        <v>13</v>
      </c>
      <c r="F26" s="71" t="n">
        <v>1975</v>
      </c>
      <c r="G26" s="69" t="s">
        <v>514</v>
      </c>
      <c r="H26" s="70" t="n">
        <f aca="false">IF($G26="","",IFERROR(LOOKUP(VALUE(LEFT($G26&amp;"",FIND("-",$G26&amp;"-")-1)),$C$40:$C$45,$D$40:$D$45),""))</f>
        <v>0</v>
      </c>
      <c r="I26" s="71" t="n">
        <v>0</v>
      </c>
      <c r="J26" s="72" t="str">
        <f aca="false">IF($I26="","n/a",IF($H26=$I26,"ok","MISMATCH"))</f>
        <v>ok</v>
      </c>
      <c r="K26" s="73" t="n">
        <v>20000</v>
      </c>
      <c r="L26" s="16"/>
      <c r="N26" s="38" t="s">
        <v>123</v>
      </c>
    </row>
    <row r="27" customFormat="false" ht="15" hidden="false" customHeight="true" outlineLevel="0" collapsed="false">
      <c r="B27" s="66" t="s">
        <v>364</v>
      </c>
      <c r="C27" s="80" t="s">
        <v>364</v>
      </c>
      <c r="D27" s="69" t="n">
        <v>13</v>
      </c>
      <c r="E27" s="68" t="n">
        <v>15</v>
      </c>
      <c r="F27" s="71" t="n">
        <v>1172</v>
      </c>
      <c r="G27" s="69" t="s">
        <v>805</v>
      </c>
      <c r="H27" s="70" t="n">
        <f aca="false">IF($G27="","",IFERROR(LOOKUP(VALUE(LEFT($G27&amp;"",FIND("-",$G27&amp;"-")-1)),$C$40:$C$45,$D$40:$D$45),""))</f>
        <v>0</v>
      </c>
      <c r="I27" s="71"/>
      <c r="J27" s="72" t="str">
        <f aca="false">IF($I27="","n/a",IF($H27=$I27,"ok","MISMATCH"))</f>
        <v>n/a</v>
      </c>
      <c r="K27" s="73" t="n">
        <v>10000</v>
      </c>
      <c r="L27" s="16"/>
      <c r="N27" s="38" t="s">
        <v>364</v>
      </c>
    </row>
    <row r="28" customFormat="false" ht="15" hidden="false" customHeight="true" outlineLevel="0" collapsed="false">
      <c r="B28" s="66" t="s">
        <v>864</v>
      </c>
      <c r="C28" s="80" t="s">
        <v>864</v>
      </c>
      <c r="D28" s="69" t="n">
        <v>22</v>
      </c>
      <c r="E28" s="97" t="s">
        <v>93</v>
      </c>
      <c r="F28" s="71"/>
      <c r="G28" s="69" t="s">
        <v>805</v>
      </c>
      <c r="H28" s="70" t="n">
        <f aca="false">IF($G28="","",IFERROR(LOOKUP(VALUE(LEFT($G28&amp;"",FIND("-",$G28&amp;"-")-1)),$C$40:$C$45,$D$40:$D$45),""))</f>
        <v>0</v>
      </c>
      <c r="I28" s="71"/>
      <c r="J28" s="72" t="str">
        <f aca="false">IF($I28="","n/a",IF($H28=$I28,"ok","MISMATCH"))</f>
        <v>n/a</v>
      </c>
      <c r="K28" s="73" t="n">
        <v>10000</v>
      </c>
      <c r="L28" s="16" t="s">
        <v>857</v>
      </c>
      <c r="N28" s="38" t="s">
        <v>864</v>
      </c>
    </row>
    <row r="29" customFormat="false" ht="15" hidden="false" customHeight="true" outlineLevel="0" collapsed="false">
      <c r="B29" s="66" t="s">
        <v>865</v>
      </c>
      <c r="C29" s="80" t="s">
        <v>865</v>
      </c>
      <c r="D29" s="69" t="n">
        <v>17</v>
      </c>
      <c r="E29" s="68" t="n">
        <v>21</v>
      </c>
      <c r="F29" s="71" t="n">
        <v>160</v>
      </c>
      <c r="G29" s="69" t="s">
        <v>805</v>
      </c>
      <c r="H29" s="70" t="n">
        <f aca="false">IF($G29="","",IFERROR(LOOKUP(VALUE(LEFT($G29&amp;"",FIND("-",$G29&amp;"-")-1)),$C$40:$C$45,$D$40:$D$45),""))</f>
        <v>0</v>
      </c>
      <c r="I29" s="71"/>
      <c r="J29" s="72" t="str">
        <f aca="false">IF($I29="","n/a",IF($H29=$I29,"ok","MISMATCH"))</f>
        <v>n/a</v>
      </c>
      <c r="K29" s="73" t="n">
        <v>10000</v>
      </c>
      <c r="L29" s="16"/>
      <c r="N29" s="38" t="s">
        <v>865</v>
      </c>
    </row>
    <row r="30" customFormat="false" ht="15" hidden="false" customHeight="true" outlineLevel="0" collapsed="false">
      <c r="B30" s="66" t="s">
        <v>328</v>
      </c>
      <c r="C30" s="80" t="s">
        <v>328</v>
      </c>
      <c r="D30" s="69" t="n">
        <v>11</v>
      </c>
      <c r="E30" s="68" t="n">
        <v>12</v>
      </c>
      <c r="F30" s="71" t="n">
        <v>2180</v>
      </c>
      <c r="G30" s="69" t="s">
        <v>805</v>
      </c>
      <c r="H30" s="70" t="n">
        <f aca="false">IF($G30="","",IFERROR(LOOKUP(VALUE(LEFT($G30&amp;"",FIND("-",$G30&amp;"-")-1)),$C$40:$C$45,$D$40:$D$45),""))</f>
        <v>0</v>
      </c>
      <c r="I30" s="71"/>
      <c r="J30" s="72" t="str">
        <f aca="false">IF($I30="","n/a",IF($H30=$I30,"ok","MISMATCH"))</f>
        <v>n/a</v>
      </c>
      <c r="K30" s="73" t="n">
        <v>10000</v>
      </c>
      <c r="L30" s="16"/>
      <c r="N30" s="38" t="s">
        <v>328</v>
      </c>
    </row>
    <row r="31" customFormat="false" ht="15" hidden="false" customHeight="true" outlineLevel="0" collapsed="false">
      <c r="B31" s="66" t="s">
        <v>866</v>
      </c>
      <c r="C31" s="80" t="s">
        <v>866</v>
      </c>
      <c r="D31" s="69" t="n">
        <v>16</v>
      </c>
      <c r="E31" s="68" t="n">
        <v>19</v>
      </c>
      <c r="F31" s="71" t="n">
        <v>400</v>
      </c>
      <c r="G31" s="69" t="s">
        <v>810</v>
      </c>
      <c r="H31" s="70" t="n">
        <f aca="false">IF($G31="","",IFERROR(LOOKUP(VALUE(LEFT($G31&amp;"",FIND("-",$G31&amp;"-")-1)),$C$40:$C$45,$D$40:$D$45),""))</f>
        <v>0</v>
      </c>
      <c r="I31" s="71"/>
      <c r="J31" s="72" t="str">
        <f aca="false">IF($I31="","n/a",IF($H31=$I31,"ok","MISMATCH"))</f>
        <v>n/a</v>
      </c>
      <c r="K31" s="73" t="n">
        <v>7500</v>
      </c>
      <c r="L31" s="74" t="s">
        <v>867</v>
      </c>
      <c r="N31" s="38" t="s">
        <v>866</v>
      </c>
    </row>
    <row r="32" customFormat="false" ht="15" hidden="false" customHeight="true" outlineLevel="0" collapsed="false">
      <c r="B32" s="66" t="s">
        <v>868</v>
      </c>
      <c r="C32" s="80" t="s">
        <v>868</v>
      </c>
      <c r="D32" s="69" t="n">
        <v>23</v>
      </c>
      <c r="E32" s="97" t="s">
        <v>93</v>
      </c>
      <c r="F32" s="71"/>
      <c r="G32" s="69" t="s">
        <v>810</v>
      </c>
      <c r="H32" s="70" t="n">
        <f aca="false">IF($G32="","",IFERROR(LOOKUP(VALUE(LEFT($G32&amp;"",FIND("-",$G32&amp;"-")-1)),$C$40:$C$45,$D$40:$D$45),""))</f>
        <v>0</v>
      </c>
      <c r="I32" s="71"/>
      <c r="J32" s="72" t="str">
        <f aca="false">IF($I32="","n/a",IF($H32=$I32,"ok","MISMATCH"))</f>
        <v>n/a</v>
      </c>
      <c r="K32" s="73" t="n">
        <v>7500</v>
      </c>
      <c r="L32" s="16" t="s">
        <v>857</v>
      </c>
      <c r="N32" s="38" t="s">
        <v>868</v>
      </c>
    </row>
    <row r="33" customFormat="false" ht="15" hidden="false" customHeight="true" outlineLevel="0" collapsed="false">
      <c r="B33" s="66" t="s">
        <v>145</v>
      </c>
      <c r="C33" s="80" t="s">
        <v>145</v>
      </c>
      <c r="D33" s="69" t="n">
        <v>19</v>
      </c>
      <c r="E33" s="97" t="s">
        <v>93</v>
      </c>
      <c r="F33" s="71" t="n">
        <v>0</v>
      </c>
      <c r="G33" s="69" t="s">
        <v>810</v>
      </c>
      <c r="H33" s="70" t="n">
        <f aca="false">IF($G33="","",IFERROR(LOOKUP(VALUE(LEFT($G33&amp;"",FIND("-",$G33&amp;"-")-1)),$C$40:$C$45,$D$40:$D$45),""))</f>
        <v>0</v>
      </c>
      <c r="I33" s="71" t="n">
        <v>0</v>
      </c>
      <c r="J33" s="72" t="str">
        <f aca="false">IF($I33="","n/a",IF($H33=$I33,"ok","MISMATCH"))</f>
        <v>ok</v>
      </c>
      <c r="K33" s="73" t="n">
        <v>7500</v>
      </c>
      <c r="L33" s="16" t="s">
        <v>869</v>
      </c>
      <c r="N33" s="38" t="s">
        <v>145</v>
      </c>
    </row>
    <row r="34" customFormat="false" ht="15" hidden="false" customHeight="true" outlineLevel="0" collapsed="false">
      <c r="B34" s="66" t="s">
        <v>870</v>
      </c>
      <c r="C34" s="80" t="s">
        <v>870</v>
      </c>
      <c r="D34" s="69" t="n">
        <v>24</v>
      </c>
      <c r="E34" s="97" t="s">
        <v>93</v>
      </c>
      <c r="F34" s="71"/>
      <c r="G34" s="69" t="s">
        <v>810</v>
      </c>
      <c r="H34" s="70" t="n">
        <f aca="false">IF($G34="","",IFERROR(LOOKUP(VALUE(LEFT($G34&amp;"",FIND("-",$G34&amp;"-")-1)),$C$40:$C$45,$D$40:$D$45),""))</f>
        <v>0</v>
      </c>
      <c r="I34" s="71"/>
      <c r="J34" s="72" t="str">
        <f aca="false">IF($I34="","n/a",IF($H34=$I34,"ok","MISMATCH"))</f>
        <v>n/a</v>
      </c>
      <c r="K34" s="73" t="n">
        <v>7500</v>
      </c>
      <c r="L34" s="16" t="s">
        <v>857</v>
      </c>
      <c r="N34" s="38" t="s">
        <v>870</v>
      </c>
    </row>
    <row r="36" customFormat="false" ht="15" hidden="false" customHeight="true" outlineLevel="0" collapsed="false">
      <c r="B36" s="11" t="s">
        <v>459</v>
      </c>
      <c r="H36" s="77" t="n">
        <f aca="false">SUM(H11:H34)</f>
        <v>3350</v>
      </c>
    </row>
    <row r="37" customFormat="false" ht="15" hidden="false" customHeight="true" outlineLevel="0" collapsed="false">
      <c r="B37" s="18" t="s">
        <v>871</v>
      </c>
    </row>
    <row r="38" customFormat="false" ht="15" hidden="false" customHeight="true" outlineLevel="0" collapsed="false">
      <c r="B38" s="11" t="s">
        <v>461</v>
      </c>
    </row>
    <row r="39" customFormat="false" ht="15" hidden="false" customHeight="true" outlineLevel="0" collapsed="false">
      <c r="B39" s="4" t="s">
        <v>463</v>
      </c>
      <c r="C39" s="4" t="s">
        <v>464</v>
      </c>
      <c r="D39" s="4" t="s">
        <v>465</v>
      </c>
    </row>
    <row r="40" customFormat="false" ht="15" hidden="false" customHeight="true" outlineLevel="0" collapsed="false">
      <c r="C40" s="13" t="n">
        <v>1</v>
      </c>
      <c r="D40" s="79" t="n">
        <v>1000</v>
      </c>
      <c r="E40" s="80" t="s">
        <v>466</v>
      </c>
    </row>
    <row r="41" customFormat="false" ht="15" hidden="false" customHeight="true" outlineLevel="0" collapsed="false">
      <c r="C41" s="13" t="n">
        <v>2</v>
      </c>
      <c r="D41" s="79" t="n">
        <v>750</v>
      </c>
      <c r="E41" s="80" t="s">
        <v>467</v>
      </c>
    </row>
    <row r="42" customFormat="false" ht="15" hidden="false" customHeight="true" outlineLevel="0" collapsed="false">
      <c r="C42" s="13" t="n">
        <v>3</v>
      </c>
      <c r="D42" s="79" t="n">
        <v>500</v>
      </c>
      <c r="E42" s="80" t="s">
        <v>468</v>
      </c>
    </row>
    <row r="43" customFormat="false" ht="15" hidden="false" customHeight="true" outlineLevel="0" collapsed="false">
      <c r="C43" s="13" t="n">
        <v>4</v>
      </c>
      <c r="D43" s="79" t="n">
        <v>300</v>
      </c>
      <c r="E43" s="80" t="s">
        <v>469</v>
      </c>
    </row>
    <row r="44" customFormat="false" ht="15" hidden="false" customHeight="true" outlineLevel="0" collapsed="false">
      <c r="C44" s="13" t="n">
        <v>5</v>
      </c>
      <c r="D44" s="79" t="n">
        <v>200</v>
      </c>
      <c r="E44" s="80" t="s">
        <v>537</v>
      </c>
    </row>
    <row r="45" customFormat="false" ht="15" hidden="false" customHeight="true" outlineLevel="0" collapsed="false">
      <c r="C45" s="13" t="n">
        <v>9</v>
      </c>
      <c r="D45" s="79" t="n">
        <v>0</v>
      </c>
      <c r="E45" s="80" t="s">
        <v>872</v>
      </c>
    </row>
    <row r="48" customFormat="false" ht="15" hidden="false" customHeight="true" outlineLevel="0" collapsed="false">
      <c r="B48" s="11" t="s">
        <v>873</v>
      </c>
    </row>
    <row r="49" customFormat="false" ht="15" hidden="false" customHeight="true" outlineLevel="0" collapsed="false">
      <c r="B49" s="3" t="s">
        <v>874</v>
      </c>
      <c r="C49" s="3"/>
      <c r="D49" s="3"/>
      <c r="E49" s="3"/>
      <c r="F49" s="3"/>
      <c r="G49" s="3"/>
      <c r="H49" s="3"/>
      <c r="I49" s="3"/>
      <c r="J49" s="3"/>
      <c r="K49" s="3"/>
      <c r="L49" s="3"/>
    </row>
    <row r="50" customFormat="false" ht="15" hidden="false" customHeight="true" outlineLevel="0" collapsed="false">
      <c r="B50" s="3"/>
      <c r="C50" s="3"/>
      <c r="D50" s="3"/>
      <c r="E50" s="3"/>
      <c r="F50" s="3"/>
      <c r="G50" s="3"/>
      <c r="H50" s="3"/>
      <c r="I50" s="3"/>
      <c r="J50" s="3"/>
      <c r="K50" s="3"/>
      <c r="L50" s="3"/>
    </row>
    <row r="51" customFormat="false" ht="15" hidden="false" customHeight="true" outlineLevel="0" collapsed="false">
      <c r="B51" s="3"/>
      <c r="C51" s="3"/>
      <c r="D51" s="3"/>
      <c r="E51" s="3"/>
      <c r="F51" s="3"/>
      <c r="G51" s="3"/>
      <c r="H51" s="3"/>
      <c r="I51" s="3"/>
      <c r="J51" s="3"/>
      <c r="K51" s="3"/>
      <c r="L51" s="3"/>
    </row>
    <row r="52" customFormat="false" ht="15" hidden="false" customHeight="true" outlineLevel="0" collapsed="false">
      <c r="B52" s="3"/>
      <c r="C52" s="3"/>
      <c r="D52" s="3"/>
      <c r="E52" s="3"/>
      <c r="F52" s="3"/>
      <c r="G52" s="3"/>
      <c r="H52" s="3"/>
      <c r="I52" s="3"/>
      <c r="J52" s="3"/>
      <c r="K52" s="3"/>
      <c r="L52" s="3"/>
    </row>
    <row r="53" customFormat="false" ht="15" hidden="false" customHeight="true" outlineLevel="0" collapsed="false">
      <c r="B53" s="3"/>
      <c r="C53" s="3"/>
      <c r="D53" s="3"/>
      <c r="E53" s="3"/>
      <c r="F53" s="3"/>
      <c r="G53" s="3"/>
      <c r="H53" s="3"/>
      <c r="I53" s="3"/>
      <c r="J53" s="3"/>
      <c r="K53" s="3"/>
      <c r="L53" s="3"/>
    </row>
    <row r="54" customFormat="false" ht="15" hidden="false" customHeight="true" outlineLevel="0" collapsed="false">
      <c r="B54" s="3"/>
      <c r="C54" s="3"/>
      <c r="D54" s="3"/>
      <c r="E54" s="3"/>
      <c r="F54" s="3"/>
      <c r="G54" s="3"/>
      <c r="H54" s="3"/>
      <c r="I54" s="3"/>
      <c r="J54" s="3"/>
      <c r="K54" s="3"/>
      <c r="L54" s="3"/>
    </row>
    <row r="56" customFormat="false" ht="23.25" hidden="false" customHeight="true" outlineLevel="0" collapsed="false">
      <c r="B56" s="4" t="s">
        <v>846</v>
      </c>
      <c r="C56" s="4" t="s">
        <v>474</v>
      </c>
      <c r="D56" s="4" t="s">
        <v>847</v>
      </c>
      <c r="E56" s="4" t="s">
        <v>875</v>
      </c>
    </row>
    <row r="57" customFormat="false" ht="15" hidden="false" customHeight="true" outlineLevel="0" collapsed="false">
      <c r="B57" s="13" t="n">
        <v>1</v>
      </c>
      <c r="C57" s="81" t="s">
        <v>876</v>
      </c>
      <c r="D57" s="130" t="n">
        <v>16710</v>
      </c>
      <c r="E57" s="97" t="s">
        <v>877</v>
      </c>
    </row>
    <row r="58" customFormat="false" ht="15" hidden="false" customHeight="true" outlineLevel="0" collapsed="false">
      <c r="B58" s="13" t="n">
        <v>2</v>
      </c>
      <c r="C58" s="81" t="s">
        <v>382</v>
      </c>
      <c r="D58" s="130" t="n">
        <v>14510</v>
      </c>
      <c r="E58" s="131" t="s">
        <v>117</v>
      </c>
    </row>
    <row r="59" customFormat="false" ht="15" hidden="false" customHeight="true" outlineLevel="0" collapsed="false">
      <c r="B59" s="13" t="n">
        <v>3</v>
      </c>
      <c r="C59" s="81" t="s">
        <v>157</v>
      </c>
      <c r="D59" s="130" t="n">
        <v>13230</v>
      </c>
      <c r="E59" s="131" t="s">
        <v>117</v>
      </c>
    </row>
    <row r="60" customFormat="false" ht="15" hidden="false" customHeight="true" outlineLevel="0" collapsed="false">
      <c r="B60" s="13" t="n">
        <v>4</v>
      </c>
      <c r="C60" s="81" t="s">
        <v>862</v>
      </c>
      <c r="D60" s="130" t="n">
        <v>10560</v>
      </c>
      <c r="E60" s="131" t="s">
        <v>117</v>
      </c>
    </row>
    <row r="61" customFormat="false" ht="15" hidden="false" customHeight="true" outlineLevel="0" collapsed="false">
      <c r="B61" s="13" t="n">
        <v>5</v>
      </c>
      <c r="C61" s="81" t="s">
        <v>390</v>
      </c>
      <c r="D61" s="130" t="n">
        <v>10400</v>
      </c>
      <c r="E61" s="131" t="s">
        <v>117</v>
      </c>
    </row>
    <row r="62" customFormat="false" ht="15" hidden="false" customHeight="true" outlineLevel="0" collapsed="false">
      <c r="B62" s="13" t="n">
        <v>6</v>
      </c>
      <c r="C62" s="81" t="s">
        <v>175</v>
      </c>
      <c r="D62" s="130" t="n">
        <v>10300</v>
      </c>
      <c r="E62" s="131" t="s">
        <v>117</v>
      </c>
    </row>
    <row r="63" customFormat="false" ht="15" hidden="false" customHeight="true" outlineLevel="0" collapsed="false">
      <c r="B63" s="13" t="n">
        <v>7</v>
      </c>
      <c r="C63" s="81" t="s">
        <v>114</v>
      </c>
      <c r="D63" s="130" t="n">
        <v>8125</v>
      </c>
      <c r="E63" s="131" t="s">
        <v>117</v>
      </c>
    </row>
    <row r="64" customFormat="false" ht="15" hidden="false" customHeight="true" outlineLevel="0" collapsed="false">
      <c r="B64" s="13" t="n">
        <v>8</v>
      </c>
      <c r="C64" s="81" t="s">
        <v>141</v>
      </c>
      <c r="D64" s="130" t="n">
        <v>4650</v>
      </c>
      <c r="E64" s="131" t="s">
        <v>117</v>
      </c>
    </row>
    <row r="65" customFormat="false" ht="15" hidden="false" customHeight="true" outlineLevel="0" collapsed="false">
      <c r="B65" s="13" t="n">
        <v>9</v>
      </c>
      <c r="C65" s="81" t="s">
        <v>346</v>
      </c>
      <c r="D65" s="130" t="n">
        <v>2860</v>
      </c>
      <c r="E65" s="131" t="s">
        <v>117</v>
      </c>
    </row>
    <row r="66" customFormat="false" ht="15" hidden="false" customHeight="true" outlineLevel="0" collapsed="false">
      <c r="B66" s="13" t="n">
        <v>10</v>
      </c>
      <c r="C66" s="81" t="s">
        <v>224</v>
      </c>
      <c r="D66" s="130" t="n">
        <v>2760</v>
      </c>
      <c r="E66" s="131" t="s">
        <v>117</v>
      </c>
    </row>
    <row r="67" customFormat="false" ht="15" hidden="false" customHeight="true" outlineLevel="0" collapsed="false">
      <c r="B67" s="13" t="n">
        <v>11</v>
      </c>
      <c r="C67" s="81" t="s">
        <v>860</v>
      </c>
      <c r="D67" s="130" t="n">
        <v>2662</v>
      </c>
      <c r="E67" s="131" t="s">
        <v>117</v>
      </c>
    </row>
    <row r="68" customFormat="false" ht="15" hidden="false" customHeight="true" outlineLevel="0" collapsed="false">
      <c r="B68" s="13" t="n">
        <v>12</v>
      </c>
      <c r="C68" s="81" t="s">
        <v>328</v>
      </c>
      <c r="D68" s="130" t="n">
        <v>2180</v>
      </c>
      <c r="E68" s="131" t="s">
        <v>117</v>
      </c>
    </row>
    <row r="69" customFormat="false" ht="15" hidden="false" customHeight="true" outlineLevel="0" collapsed="false">
      <c r="B69" s="13" t="n">
        <v>13</v>
      </c>
      <c r="C69" s="81" t="s">
        <v>123</v>
      </c>
      <c r="D69" s="130" t="n">
        <v>1975</v>
      </c>
      <c r="E69" s="131" t="s">
        <v>117</v>
      </c>
    </row>
    <row r="70" customFormat="false" ht="15" hidden="false" customHeight="true" outlineLevel="0" collapsed="false">
      <c r="B70" s="13" t="n">
        <v>14</v>
      </c>
      <c r="C70" s="81" t="s">
        <v>165</v>
      </c>
      <c r="D70" s="130" t="n">
        <v>1775</v>
      </c>
      <c r="E70" s="97" t="s">
        <v>877</v>
      </c>
    </row>
    <row r="71" customFormat="false" ht="15" hidden="false" customHeight="true" outlineLevel="0" collapsed="false">
      <c r="B71" s="13" t="n">
        <v>15</v>
      </c>
      <c r="C71" s="81" t="s">
        <v>364</v>
      </c>
      <c r="D71" s="130" t="n">
        <v>1172</v>
      </c>
      <c r="E71" s="131" t="s">
        <v>117</v>
      </c>
    </row>
    <row r="72" customFormat="false" ht="15" hidden="false" customHeight="true" outlineLevel="0" collapsed="false">
      <c r="B72" s="13" t="n">
        <v>16</v>
      </c>
      <c r="C72" s="81" t="s">
        <v>852</v>
      </c>
      <c r="D72" s="130" t="n">
        <v>655</v>
      </c>
      <c r="E72" s="131" t="s">
        <v>117</v>
      </c>
    </row>
    <row r="73" customFormat="false" ht="15" hidden="false" customHeight="true" outlineLevel="0" collapsed="false">
      <c r="B73" s="13" t="n">
        <v>17</v>
      </c>
      <c r="C73" s="81" t="s">
        <v>380</v>
      </c>
      <c r="D73" s="130" t="n">
        <v>640</v>
      </c>
      <c r="E73" s="131" t="s">
        <v>117</v>
      </c>
    </row>
    <row r="74" customFormat="false" ht="15" hidden="false" customHeight="true" outlineLevel="0" collapsed="false">
      <c r="B74" s="13" t="n">
        <v>18</v>
      </c>
      <c r="C74" s="81" t="s">
        <v>878</v>
      </c>
      <c r="D74" s="130" t="n">
        <v>440</v>
      </c>
      <c r="E74" s="97" t="s">
        <v>877</v>
      </c>
    </row>
    <row r="75" customFormat="false" ht="15" hidden="false" customHeight="true" outlineLevel="0" collapsed="false">
      <c r="B75" s="13" t="n">
        <v>19</v>
      </c>
      <c r="C75" s="81" t="s">
        <v>879</v>
      </c>
      <c r="D75" s="130" t="n">
        <v>400</v>
      </c>
      <c r="E75" s="97" t="s">
        <v>877</v>
      </c>
    </row>
    <row r="76" customFormat="false" ht="15" hidden="false" customHeight="true" outlineLevel="0" collapsed="false">
      <c r="B76" s="13" t="n">
        <v>20</v>
      </c>
      <c r="C76" s="81" t="s">
        <v>880</v>
      </c>
      <c r="D76" s="130" t="n">
        <v>368</v>
      </c>
      <c r="E76" s="97" t="s">
        <v>877</v>
      </c>
    </row>
    <row r="77" customFormat="false" ht="15" hidden="false" customHeight="true" outlineLevel="0" collapsed="false">
      <c r="B77" s="13" t="n">
        <v>21</v>
      </c>
      <c r="C77" s="81" t="s">
        <v>865</v>
      </c>
      <c r="D77" s="130" t="n">
        <v>160</v>
      </c>
      <c r="E77" s="131" t="s">
        <v>117</v>
      </c>
    </row>
    <row r="78" customFormat="false" ht="15" hidden="false" customHeight="true" outlineLevel="0" collapsed="false">
      <c r="B78" s="13" t="n">
        <v>22</v>
      </c>
      <c r="C78" s="81" t="s">
        <v>881</v>
      </c>
      <c r="D78" s="130" t="n">
        <v>140</v>
      </c>
      <c r="E78" s="97" t="s">
        <v>877</v>
      </c>
    </row>
    <row r="79" customFormat="false" ht="15" hidden="false" customHeight="true" outlineLevel="0" collapsed="false">
      <c r="B79" s="13" t="n">
        <v>22</v>
      </c>
      <c r="C79" s="81" t="s">
        <v>338</v>
      </c>
      <c r="D79" s="130" t="n">
        <v>140</v>
      </c>
      <c r="E79" s="131" t="s">
        <v>117</v>
      </c>
    </row>
    <row r="80" customFormat="false" ht="15" hidden="false" customHeight="true" outlineLevel="0" collapsed="false">
      <c r="B80" s="13" t="n">
        <v>24</v>
      </c>
      <c r="C80" s="81" t="s">
        <v>356</v>
      </c>
      <c r="D80" s="130" t="n">
        <v>48</v>
      </c>
      <c r="E80" s="97" t="s">
        <v>877</v>
      </c>
    </row>
  </sheetData>
  <sheetProtection sheet="true" formatCells="false" selectLockedCells="true" selectUnlockedCells="true"/>
  <mergeCells count="1">
    <mergeCell ref="B49:L54"/>
  </mergeCells>
  <dataValidations count="1">
    <dataValidation allowBlank="true" error="Pick a placement from the list — free text breaks the points lookup." errorStyle="stop" errorTitle="Use the dropdown" operator="between" showDropDown="false" showErrorMessage="false" showInputMessage="false" sqref="G11:G34" type="list">
      <formula1>"1,2,3,4,5-8,9-12,13-16,17-20,21-24"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0" topLeftCell="D11" activePane="bottomRight" state="frozen"/>
      <selection pane="topLeft" activeCell="A1" activeCellId="0" sqref="A1"/>
      <selection pane="topRight" activeCell="D1" activeCellId="0" sqref="D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3" min="3" style="1" width="16"/>
    <col collapsed="false" customWidth="true" hidden="false" outlineLevel="0" max="4" min="4" style="1" width="8"/>
    <col collapsed="false" customWidth="true" hidden="false" outlineLevel="0" max="5" min="5" style="1" width="10"/>
    <col collapsed="false" customWidth="true" hidden="false" outlineLevel="0" max="6" min="6" style="1" width="11"/>
    <col collapsed="false" customWidth="true" hidden="false" outlineLevel="0" max="8" min="7" style="1" width="12"/>
    <col collapsed="false" customWidth="true" hidden="false" outlineLevel="0" max="9" min="9" style="1" width="15"/>
    <col collapsed="false" customWidth="true" hidden="false" outlineLevel="0" max="10" min="10" style="1" width="10"/>
    <col collapsed="false" customWidth="true" hidden="false" outlineLevel="0" max="11" min="11" style="1" width="12"/>
    <col collapsed="false" customWidth="true" hidden="false" outlineLevel="0" max="12" min="12" style="1" width="40"/>
  </cols>
  <sheetData>
    <row r="2" customFormat="false" ht="18" hidden="false" customHeight="true" outlineLevel="0" collapsed="false">
      <c r="B2" s="2" t="s">
        <v>882</v>
      </c>
    </row>
    <row r="3" customFormat="false" ht="15" hidden="false" customHeight="true" outlineLevel="0" collapsed="false">
      <c r="B3" s="18" t="s">
        <v>883</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884</v>
      </c>
      <c r="D6" s="28" t="s">
        <v>771</v>
      </c>
      <c r="F6" s="28" t="s">
        <v>885</v>
      </c>
      <c r="H6" s="28" t="s">
        <v>841</v>
      </c>
      <c r="J6" s="28" t="s">
        <v>886</v>
      </c>
      <c r="L6" s="28" t="s">
        <v>887</v>
      </c>
    </row>
    <row r="8" customFormat="false" ht="15" hidden="false" customHeight="true" outlineLevel="0" collapsed="false">
      <c r="B8" s="11" t="s">
        <v>416</v>
      </c>
    </row>
    <row r="9" customFormat="false" ht="15" hidden="false" customHeight="true" outlineLevel="0" collapsed="false">
      <c r="B9" s="18" t="s">
        <v>888</v>
      </c>
    </row>
    <row r="10" customFormat="false" ht="34.5" hidden="false" customHeight="true" outlineLevel="0" collapsed="false">
      <c r="B10" s="4" t="s">
        <v>418</v>
      </c>
      <c r="C10" s="4" t="s">
        <v>488</v>
      </c>
      <c r="D10" s="4" t="s">
        <v>541</v>
      </c>
      <c r="E10" s="4" t="s">
        <v>889</v>
      </c>
      <c r="F10" s="4" t="s">
        <v>890</v>
      </c>
      <c r="G10" s="4" t="s">
        <v>421</v>
      </c>
      <c r="H10" s="4" t="s">
        <v>422</v>
      </c>
      <c r="I10" s="4" t="s">
        <v>423</v>
      </c>
      <c r="J10" s="4" t="s">
        <v>424</v>
      </c>
      <c r="K10" s="4" t="s">
        <v>425</v>
      </c>
      <c r="L10" s="4" t="s">
        <v>41</v>
      </c>
      <c r="N10" s="4" t="s">
        <v>426</v>
      </c>
    </row>
    <row r="11" customFormat="false" ht="15" hidden="false" customHeight="true" outlineLevel="0" collapsed="false">
      <c r="B11" s="117" t="s">
        <v>127</v>
      </c>
      <c r="C11" s="29" t="s">
        <v>891</v>
      </c>
      <c r="D11" s="32" t="n">
        <v>27</v>
      </c>
      <c r="E11" s="31" t="n">
        <v>52</v>
      </c>
      <c r="F11" s="34" t="n">
        <v>315</v>
      </c>
      <c r="G11" s="32" t="s">
        <v>427</v>
      </c>
      <c r="H11" s="33" t="n">
        <f aca="false">IF($G11="","",IFERROR(LOOKUP(VALUE(LEFT($G11&amp;"",FIND("-",$G11&amp;"-")-1)),$C$48:$C$53,$D$48:$D$53),""))</f>
        <v>1000</v>
      </c>
      <c r="I11" s="34" t="n">
        <v>1000</v>
      </c>
      <c r="J11" s="35" t="str">
        <f aca="false">IF($I11="","n/a",IF($H11=$I11,"ok","MISMATCH"))</f>
        <v>ok</v>
      </c>
      <c r="K11" s="36" t="n">
        <v>250000</v>
      </c>
      <c r="L11" s="132" t="s">
        <v>892</v>
      </c>
      <c r="N11" s="38" t="s">
        <v>127</v>
      </c>
    </row>
    <row r="12" customFormat="false" ht="15" hidden="false" customHeight="true" outlineLevel="0" collapsed="false">
      <c r="B12" s="123" t="s">
        <v>210</v>
      </c>
      <c r="C12" s="39" t="s">
        <v>893</v>
      </c>
      <c r="D12" s="42" t="n">
        <v>4</v>
      </c>
      <c r="E12" s="41" t="n">
        <v>4</v>
      </c>
      <c r="F12" s="44" t="n">
        <v>1385</v>
      </c>
      <c r="G12" s="42" t="s">
        <v>428</v>
      </c>
      <c r="H12" s="43" t="n">
        <f aca="false">IF($G12="","",IFERROR(LOOKUP(VALUE(LEFT($G12&amp;"",FIND("-",$G12&amp;"-")-1)),$C$48:$C$53,$D$48:$D$53),""))</f>
        <v>750</v>
      </c>
      <c r="I12" s="44" t="n">
        <v>750</v>
      </c>
      <c r="J12" s="45" t="str">
        <f aca="false">IF($I12="","n/a",IF($H12=$I12,"ok","MISMATCH"))</f>
        <v>ok</v>
      </c>
      <c r="K12" s="46" t="n">
        <v>130000</v>
      </c>
      <c r="L12" s="133"/>
      <c r="N12" s="38" t="s">
        <v>210</v>
      </c>
    </row>
    <row r="13" customFormat="false" ht="15" hidden="false" customHeight="true" outlineLevel="0" collapsed="false">
      <c r="B13" s="134" t="s">
        <v>894</v>
      </c>
      <c r="C13" s="48" t="s">
        <v>895</v>
      </c>
      <c r="D13" s="51" t="n">
        <v>19</v>
      </c>
      <c r="E13" s="50" t="n">
        <v>23</v>
      </c>
      <c r="F13" s="53" t="n">
        <v>660</v>
      </c>
      <c r="G13" s="51" t="s">
        <v>430</v>
      </c>
      <c r="H13" s="52" t="n">
        <f aca="false">IF($G13="","",IFERROR(LOOKUP(VALUE(LEFT($G13&amp;"",FIND("-",$G13&amp;"-")-1)),$C$48:$C$53,$D$48:$D$53),""))</f>
        <v>500</v>
      </c>
      <c r="I13" s="53"/>
      <c r="J13" s="54" t="str">
        <f aca="false">IF($I13="","n/a",IF($H13=$I13,"ok","MISMATCH"))</f>
        <v>n/a</v>
      </c>
      <c r="K13" s="55" t="n">
        <v>70000</v>
      </c>
      <c r="L13" s="135" t="s">
        <v>896</v>
      </c>
      <c r="N13" s="38" t="s">
        <v>894</v>
      </c>
    </row>
    <row r="14" customFormat="false" ht="15" hidden="false" customHeight="true" outlineLevel="0" collapsed="false">
      <c r="B14" s="120" t="s">
        <v>134</v>
      </c>
      <c r="C14" s="57" t="s">
        <v>897</v>
      </c>
      <c r="D14" s="60" t="n">
        <v>2</v>
      </c>
      <c r="E14" s="59" t="n">
        <v>2</v>
      </c>
      <c r="F14" s="62" t="n">
        <v>1520</v>
      </c>
      <c r="G14" s="60" t="s">
        <v>431</v>
      </c>
      <c r="H14" s="61" t="n">
        <f aca="false">IF($G14="","",IFERROR(LOOKUP(VALUE(LEFT($G14&amp;"",FIND("-",$G14&amp;"-")-1)),$C$48:$C$53,$D$48:$D$53),""))</f>
        <v>300</v>
      </c>
      <c r="I14" s="62" t="n">
        <v>300</v>
      </c>
      <c r="J14" s="63" t="str">
        <f aca="false">IF($I14="","n/a",IF($H14=$I14,"ok","MISMATCH"))</f>
        <v>ok</v>
      </c>
      <c r="K14" s="64" t="n">
        <v>50000</v>
      </c>
      <c r="L14" s="129"/>
      <c r="N14" s="38" t="s">
        <v>134</v>
      </c>
    </row>
    <row r="15" customFormat="false" ht="15" hidden="false" customHeight="true" outlineLevel="0" collapsed="false">
      <c r="B15" s="120" t="s">
        <v>119</v>
      </c>
      <c r="C15" s="57" t="s">
        <v>898</v>
      </c>
      <c r="D15" s="60" t="n">
        <v>13</v>
      </c>
      <c r="E15" s="59" t="n">
        <v>14</v>
      </c>
      <c r="F15" s="62" t="n">
        <v>925</v>
      </c>
      <c r="G15" s="60" t="s">
        <v>432</v>
      </c>
      <c r="H15" s="61" t="n">
        <f aca="false">IF($G15="","",IFERROR(LOOKUP(VALUE(LEFT($G15&amp;"",FIND("-",$G15&amp;"-")-1)),$C$48:$C$53,$D$48:$D$53),""))</f>
        <v>200</v>
      </c>
      <c r="I15" s="62" t="n">
        <v>200</v>
      </c>
      <c r="J15" s="63" t="str">
        <f aca="false">IF($I15="","n/a",IF($H15=$I15,"ok","MISMATCH"))</f>
        <v>ok</v>
      </c>
      <c r="K15" s="64" t="n">
        <v>37500</v>
      </c>
      <c r="L15" s="129"/>
      <c r="N15" s="38" t="s">
        <v>119</v>
      </c>
    </row>
    <row r="16" customFormat="false" ht="15" hidden="false" customHeight="true" outlineLevel="0" collapsed="false">
      <c r="B16" s="120" t="s">
        <v>261</v>
      </c>
      <c r="C16" s="57" t="s">
        <v>899</v>
      </c>
      <c r="D16" s="60" t="n">
        <v>9</v>
      </c>
      <c r="E16" s="59" t="n">
        <v>9</v>
      </c>
      <c r="F16" s="62" t="n">
        <v>1095</v>
      </c>
      <c r="G16" s="60" t="s">
        <v>432</v>
      </c>
      <c r="H16" s="61" t="n">
        <f aca="false">IF($G16="","",IFERROR(LOOKUP(VALUE(LEFT($G16&amp;"",FIND("-",$G16&amp;"-")-1)),$C$48:$C$53,$D$48:$D$53),""))</f>
        <v>200</v>
      </c>
      <c r="I16" s="62" t="n">
        <v>200</v>
      </c>
      <c r="J16" s="63" t="str">
        <f aca="false">IF($I16="","n/a",IF($H16=$I16,"ok","MISMATCH"))</f>
        <v>ok</v>
      </c>
      <c r="K16" s="64" t="n">
        <v>37500</v>
      </c>
      <c r="L16" s="129"/>
      <c r="N16" s="38" t="s">
        <v>261</v>
      </c>
    </row>
    <row r="17" customFormat="false" ht="15" hidden="false" customHeight="true" outlineLevel="0" collapsed="false">
      <c r="B17" s="120" t="s">
        <v>195</v>
      </c>
      <c r="C17" s="57" t="s">
        <v>900</v>
      </c>
      <c r="D17" s="60" t="n">
        <v>31</v>
      </c>
      <c r="E17" s="59" t="n">
        <v>81</v>
      </c>
      <c r="F17" s="62" t="n">
        <v>221</v>
      </c>
      <c r="G17" s="60" t="s">
        <v>432</v>
      </c>
      <c r="H17" s="61" t="n">
        <f aca="false">IF($G17="","",IFERROR(LOOKUP(VALUE(LEFT($G17&amp;"",FIND("-",$G17&amp;"-")-1)),$C$48:$C$53,$D$48:$D$53),""))</f>
        <v>200</v>
      </c>
      <c r="I17" s="62" t="n">
        <v>200</v>
      </c>
      <c r="J17" s="63" t="str">
        <f aca="false">IF($I17="","n/a",IF($H17=$I17,"ok","MISMATCH"))</f>
        <v>ok</v>
      </c>
      <c r="K17" s="64" t="n">
        <v>37500</v>
      </c>
      <c r="L17" s="129" t="s">
        <v>901</v>
      </c>
      <c r="N17" s="38" t="s">
        <v>195</v>
      </c>
    </row>
    <row r="18" customFormat="false" ht="15" hidden="false" customHeight="true" outlineLevel="0" collapsed="false">
      <c r="B18" s="120" t="s">
        <v>114</v>
      </c>
      <c r="C18" s="57" t="s">
        <v>902</v>
      </c>
      <c r="D18" s="60" t="n">
        <v>28</v>
      </c>
      <c r="E18" s="59" t="n">
        <v>61</v>
      </c>
      <c r="F18" s="62" t="n">
        <v>270</v>
      </c>
      <c r="G18" s="60" t="s">
        <v>432</v>
      </c>
      <c r="H18" s="61" t="n">
        <f aca="false">IF($G18="","",IFERROR(LOOKUP(VALUE(LEFT($G18&amp;"",FIND("-",$G18&amp;"-")-1)),$C$48:$C$53,$D$48:$D$53),""))</f>
        <v>200</v>
      </c>
      <c r="I18" s="62" t="n">
        <v>200</v>
      </c>
      <c r="J18" s="63" t="str">
        <f aca="false">IF($I18="","n/a",IF($H18=$I18,"ok","MISMATCH"))</f>
        <v>ok</v>
      </c>
      <c r="K18" s="64" t="n">
        <v>37500</v>
      </c>
      <c r="L18" s="129" t="s">
        <v>903</v>
      </c>
      <c r="N18" s="38" t="s">
        <v>114</v>
      </c>
    </row>
    <row r="19" customFormat="false" ht="15" hidden="false" customHeight="true" outlineLevel="0" collapsed="false">
      <c r="B19" s="121" t="s">
        <v>261</v>
      </c>
      <c r="C19" s="66" t="s">
        <v>904</v>
      </c>
      <c r="D19" s="69" t="n">
        <v>21</v>
      </c>
      <c r="E19" s="68" t="n">
        <v>27</v>
      </c>
      <c r="F19" s="71" t="n">
        <v>630</v>
      </c>
      <c r="G19" s="69" t="s">
        <v>506</v>
      </c>
      <c r="H19" s="70" t="n">
        <f aca="false">IF($G19="","",IFERROR(LOOKUP(VALUE(LEFT($G19&amp;"",FIND("-",$G19&amp;"-")-1)),$C$48:$C$53,$D$48:$D$53),""))</f>
        <v>0</v>
      </c>
      <c r="I19" s="71"/>
      <c r="J19" s="72" t="str">
        <f aca="false">IF($I19="","n/a",IF($H19=$I19,"ok","MISMATCH"))</f>
        <v>n/a</v>
      </c>
      <c r="K19" s="73" t="n">
        <v>27500</v>
      </c>
      <c r="L19" s="74"/>
      <c r="N19" s="38" t="s">
        <v>261</v>
      </c>
    </row>
    <row r="20" customFormat="false" ht="15" hidden="false" customHeight="true" outlineLevel="0" collapsed="false">
      <c r="B20" s="121" t="s">
        <v>114</v>
      </c>
      <c r="C20" s="66" t="s">
        <v>905</v>
      </c>
      <c r="D20" s="69" t="n">
        <v>25</v>
      </c>
      <c r="E20" s="68" t="n">
        <v>48</v>
      </c>
      <c r="F20" s="71" t="n">
        <v>350</v>
      </c>
      <c r="G20" s="69" t="s">
        <v>506</v>
      </c>
      <c r="H20" s="70" t="n">
        <f aca="false">IF($G20="","",IFERROR(LOOKUP(VALUE(LEFT($G20&amp;"",FIND("-",$G20&amp;"-")-1)),$C$48:$C$53,$D$48:$D$53),""))</f>
        <v>0</v>
      </c>
      <c r="I20" s="71"/>
      <c r="J20" s="72" t="str">
        <f aca="false">IF($I20="","n/a",IF($H20=$I20,"ok","MISMATCH"))</f>
        <v>n/a</v>
      </c>
      <c r="K20" s="73" t="n">
        <v>27500</v>
      </c>
      <c r="L20" s="74" t="s">
        <v>906</v>
      </c>
      <c r="N20" s="38" t="s">
        <v>114</v>
      </c>
    </row>
    <row r="21" customFormat="false" ht="15" hidden="false" customHeight="true" outlineLevel="0" collapsed="false">
      <c r="B21" s="121" t="s">
        <v>114</v>
      </c>
      <c r="C21" s="66" t="s">
        <v>907</v>
      </c>
      <c r="D21" s="69" t="n">
        <v>5</v>
      </c>
      <c r="E21" s="68" t="n">
        <v>5</v>
      </c>
      <c r="F21" s="71" t="n">
        <v>1340</v>
      </c>
      <c r="G21" s="69" t="s">
        <v>506</v>
      </c>
      <c r="H21" s="70" t="n">
        <f aca="false">IF($G21="","",IFERROR(LOOKUP(VALUE(LEFT($G21&amp;"",FIND("-",$G21&amp;"-")-1)),$C$48:$C$53,$D$48:$D$53),""))</f>
        <v>0</v>
      </c>
      <c r="I21" s="71"/>
      <c r="J21" s="72" t="str">
        <f aca="false">IF($I21="","n/a",IF($H21=$I21,"ok","MISMATCH"))</f>
        <v>n/a</v>
      </c>
      <c r="K21" s="73" t="n">
        <v>27500</v>
      </c>
      <c r="L21" s="74"/>
      <c r="N21" s="38" t="s">
        <v>114</v>
      </c>
    </row>
    <row r="22" customFormat="false" ht="15" hidden="false" customHeight="true" outlineLevel="0" collapsed="false">
      <c r="B22" s="121" t="s">
        <v>908</v>
      </c>
      <c r="C22" s="66" t="s">
        <v>909</v>
      </c>
      <c r="D22" s="69" t="n">
        <v>12</v>
      </c>
      <c r="E22" s="68" t="n">
        <v>13</v>
      </c>
      <c r="F22" s="71" t="n">
        <v>950</v>
      </c>
      <c r="G22" s="69" t="s">
        <v>506</v>
      </c>
      <c r="H22" s="70" t="n">
        <f aca="false">IF($G22="","",IFERROR(LOOKUP(VALUE(LEFT($G22&amp;"",FIND("-",$G22&amp;"-")-1)),$C$48:$C$53,$D$48:$D$53),""))</f>
        <v>0</v>
      </c>
      <c r="I22" s="71"/>
      <c r="J22" s="72" t="str">
        <f aca="false">IF($I22="","n/a",IF($H22=$I22,"ok","MISMATCH"))</f>
        <v>n/a</v>
      </c>
      <c r="K22" s="73" t="n">
        <v>27500</v>
      </c>
      <c r="L22" s="74"/>
      <c r="N22" s="38" t="s">
        <v>908</v>
      </c>
    </row>
    <row r="23" customFormat="false" ht="15" hidden="false" customHeight="true" outlineLevel="0" collapsed="false">
      <c r="B23" s="121" t="s">
        <v>500</v>
      </c>
      <c r="C23" s="66" t="s">
        <v>910</v>
      </c>
      <c r="D23" s="69" t="n">
        <v>14</v>
      </c>
      <c r="E23" s="68" t="n">
        <v>15</v>
      </c>
      <c r="F23" s="71" t="n">
        <v>840</v>
      </c>
      <c r="G23" s="69" t="s">
        <v>514</v>
      </c>
      <c r="H23" s="70" t="n">
        <f aca="false">IF($G23="","",IFERROR(LOOKUP(VALUE(LEFT($G23&amp;"",FIND("-",$G23&amp;"-")-1)),$C$48:$C$53,$D$48:$D$53),""))</f>
        <v>0</v>
      </c>
      <c r="I23" s="71"/>
      <c r="J23" s="72" t="str">
        <f aca="false">IF($I23="","n/a",IF($H23=$I23,"ok","MISMATCH"))</f>
        <v>n/a</v>
      </c>
      <c r="K23" s="73" t="n">
        <v>20000</v>
      </c>
      <c r="L23" s="74"/>
      <c r="N23" s="76" t="s">
        <v>138</v>
      </c>
    </row>
    <row r="24" customFormat="false" ht="15" hidden="false" customHeight="true" outlineLevel="0" collapsed="false">
      <c r="B24" s="121" t="s">
        <v>271</v>
      </c>
      <c r="C24" s="66" t="s">
        <v>911</v>
      </c>
      <c r="D24" s="69" t="n">
        <v>30</v>
      </c>
      <c r="E24" s="68" t="n">
        <v>74</v>
      </c>
      <c r="F24" s="71" t="n">
        <v>240</v>
      </c>
      <c r="G24" s="69" t="s">
        <v>514</v>
      </c>
      <c r="H24" s="70" t="n">
        <f aca="false">IF($G24="","",IFERROR(LOOKUP(VALUE(LEFT($G24&amp;"",FIND("-",$G24&amp;"-")-1)),$C$48:$C$53,$D$48:$D$53),""))</f>
        <v>0</v>
      </c>
      <c r="I24" s="71"/>
      <c r="J24" s="72" t="str">
        <f aca="false">IF($I24="","n/a",IF($H24=$I24,"ok","MISMATCH"))</f>
        <v>n/a</v>
      </c>
      <c r="K24" s="73" t="n">
        <v>20000</v>
      </c>
      <c r="L24" s="74" t="s">
        <v>912</v>
      </c>
      <c r="N24" s="38" t="s">
        <v>271</v>
      </c>
    </row>
    <row r="25" customFormat="false" ht="15" hidden="false" customHeight="true" outlineLevel="0" collapsed="false">
      <c r="B25" s="121" t="s">
        <v>169</v>
      </c>
      <c r="C25" s="66" t="s">
        <v>913</v>
      </c>
      <c r="D25" s="69" t="n">
        <v>24</v>
      </c>
      <c r="E25" s="68" t="n">
        <v>31</v>
      </c>
      <c r="F25" s="71" t="n">
        <v>525</v>
      </c>
      <c r="G25" s="69" t="s">
        <v>514</v>
      </c>
      <c r="H25" s="70" t="n">
        <f aca="false">IF($G25="","",IFERROR(LOOKUP(VALUE(LEFT($G25&amp;"",FIND("-",$G25&amp;"-")-1)),$C$48:$C$53,$D$48:$D$53),""))</f>
        <v>0</v>
      </c>
      <c r="I25" s="71" t="n">
        <v>0</v>
      </c>
      <c r="J25" s="72" t="str">
        <f aca="false">IF($I25="","n/a",IF($H25=$I25,"ok","MISMATCH"))</f>
        <v>ok</v>
      </c>
      <c r="K25" s="73" t="n">
        <v>20000</v>
      </c>
      <c r="L25" s="74"/>
      <c r="N25" s="38" t="s">
        <v>169</v>
      </c>
    </row>
    <row r="26" customFormat="false" ht="15" hidden="false" customHeight="true" outlineLevel="0" collapsed="false">
      <c r="B26" s="121" t="s">
        <v>123</v>
      </c>
      <c r="C26" s="66" t="s">
        <v>914</v>
      </c>
      <c r="D26" s="69" t="n">
        <v>8</v>
      </c>
      <c r="E26" s="68" t="n">
        <v>8</v>
      </c>
      <c r="F26" s="71" t="n">
        <v>1200</v>
      </c>
      <c r="G26" s="69" t="s">
        <v>514</v>
      </c>
      <c r="H26" s="70" t="n">
        <f aca="false">IF($G26="","",IFERROR(LOOKUP(VALUE(LEFT($G26&amp;"",FIND("-",$G26&amp;"-")-1)),$C$48:$C$53,$D$48:$D$53),""))</f>
        <v>0</v>
      </c>
      <c r="I26" s="71" t="n">
        <v>0</v>
      </c>
      <c r="J26" s="72" t="str">
        <f aca="false">IF($I26="","n/a",IF($H26=$I26,"ok","MISMATCH"))</f>
        <v>ok</v>
      </c>
      <c r="K26" s="73" t="n">
        <v>20000</v>
      </c>
      <c r="L26" s="74"/>
      <c r="N26" s="38" t="s">
        <v>123</v>
      </c>
    </row>
    <row r="27" customFormat="false" ht="15" hidden="false" customHeight="true" outlineLevel="0" collapsed="false">
      <c r="B27" s="121" t="s">
        <v>324</v>
      </c>
      <c r="C27" s="66" t="s">
        <v>915</v>
      </c>
      <c r="D27" s="69" t="n">
        <v>22</v>
      </c>
      <c r="E27" s="68" t="n">
        <v>28</v>
      </c>
      <c r="F27" s="71" t="n">
        <v>620</v>
      </c>
      <c r="G27" s="69" t="s">
        <v>916</v>
      </c>
      <c r="H27" s="70" t="n">
        <f aca="false">IF($G27="","",IFERROR(LOOKUP(VALUE(LEFT($G27&amp;"",FIND("-",$G27&amp;"-")-1)),$C$48:$C$53,$D$48:$D$53),""))</f>
        <v>0</v>
      </c>
      <c r="I27" s="71"/>
      <c r="J27" s="72" t="str">
        <f aca="false">IF($I27="","n/a",IF($H27=$I27,"ok","MISMATCH"))</f>
        <v>n/a</v>
      </c>
      <c r="K27" s="73" t="n">
        <v>12500</v>
      </c>
      <c r="L27" s="74"/>
      <c r="N27" s="38" t="s">
        <v>324</v>
      </c>
    </row>
    <row r="28" customFormat="false" ht="15" hidden="false" customHeight="true" outlineLevel="0" collapsed="false">
      <c r="B28" s="121" t="s">
        <v>134</v>
      </c>
      <c r="C28" s="66" t="s">
        <v>917</v>
      </c>
      <c r="D28" s="69" t="n">
        <v>16</v>
      </c>
      <c r="E28" s="68" t="n">
        <v>18</v>
      </c>
      <c r="F28" s="71" t="n">
        <v>750</v>
      </c>
      <c r="G28" s="69" t="s">
        <v>916</v>
      </c>
      <c r="H28" s="70" t="n">
        <f aca="false">IF($G28="","",IFERROR(LOOKUP(VALUE(LEFT($G28&amp;"",FIND("-",$G28&amp;"-")-1)),$C$48:$C$53,$D$48:$D$53),""))</f>
        <v>0</v>
      </c>
      <c r="I28" s="71"/>
      <c r="J28" s="72" t="str">
        <f aca="false">IF($I28="","n/a",IF($H28=$I28,"ok","MISMATCH"))</f>
        <v>n/a</v>
      </c>
      <c r="K28" s="73" t="n">
        <v>12500</v>
      </c>
      <c r="L28" s="74"/>
      <c r="N28" s="38" t="s">
        <v>134</v>
      </c>
    </row>
    <row r="29" customFormat="false" ht="15" hidden="false" customHeight="true" outlineLevel="0" collapsed="false">
      <c r="B29" s="121" t="s">
        <v>193</v>
      </c>
      <c r="C29" s="66" t="s">
        <v>918</v>
      </c>
      <c r="D29" s="69" t="n">
        <v>15</v>
      </c>
      <c r="E29" s="68" t="n">
        <v>17</v>
      </c>
      <c r="F29" s="71" t="n">
        <v>785</v>
      </c>
      <c r="G29" s="69" t="s">
        <v>916</v>
      </c>
      <c r="H29" s="70" t="n">
        <f aca="false">IF($G29="","",IFERROR(LOOKUP(VALUE(LEFT($G29&amp;"",FIND("-",$G29&amp;"-")-1)),$C$48:$C$53,$D$48:$D$53),""))</f>
        <v>0</v>
      </c>
      <c r="I29" s="71" t="n">
        <v>0</v>
      </c>
      <c r="J29" s="72" t="str">
        <f aca="false">IF($I29="","n/a",IF($H29=$I29,"ok","MISMATCH"))</f>
        <v>ok</v>
      </c>
      <c r="K29" s="73" t="n">
        <v>12500</v>
      </c>
      <c r="L29" s="74"/>
      <c r="N29" s="38" t="s">
        <v>193</v>
      </c>
    </row>
    <row r="30" customFormat="false" ht="15" hidden="false" customHeight="true" outlineLevel="0" collapsed="false">
      <c r="B30" s="121" t="s">
        <v>265</v>
      </c>
      <c r="C30" s="66" t="s">
        <v>919</v>
      </c>
      <c r="D30" s="69" t="n">
        <v>3</v>
      </c>
      <c r="E30" s="68" t="n">
        <v>3</v>
      </c>
      <c r="F30" s="71" t="n">
        <v>1510</v>
      </c>
      <c r="G30" s="69" t="s">
        <v>916</v>
      </c>
      <c r="H30" s="70" t="n">
        <f aca="false">IF($G30="","",IFERROR(LOOKUP(VALUE(LEFT($G30&amp;"",FIND("-",$G30&amp;"-")-1)),$C$48:$C$53,$D$48:$D$53),""))</f>
        <v>0</v>
      </c>
      <c r="I30" s="71" t="n">
        <v>0</v>
      </c>
      <c r="J30" s="72" t="str">
        <f aca="false">IF($I30="","n/a",IF($H30=$I30,"ok","MISMATCH"))</f>
        <v>ok</v>
      </c>
      <c r="K30" s="73" t="n">
        <v>12500</v>
      </c>
      <c r="L30" s="74"/>
      <c r="N30" s="38" t="s">
        <v>265</v>
      </c>
    </row>
    <row r="31" customFormat="false" ht="15" hidden="false" customHeight="true" outlineLevel="0" collapsed="false">
      <c r="B31" s="121" t="s">
        <v>161</v>
      </c>
      <c r="C31" s="66" t="s">
        <v>920</v>
      </c>
      <c r="D31" s="69" t="n">
        <v>6</v>
      </c>
      <c r="E31" s="68" t="n">
        <v>6</v>
      </c>
      <c r="F31" s="71" t="n">
        <v>1310</v>
      </c>
      <c r="G31" s="69" t="s">
        <v>916</v>
      </c>
      <c r="H31" s="70" t="n">
        <f aca="false">IF($G31="","",IFERROR(LOOKUP(VALUE(LEFT($G31&amp;"",FIND("-",$G31&amp;"-")-1)),$C$48:$C$53,$D$48:$D$53),""))</f>
        <v>0</v>
      </c>
      <c r="I31" s="71" t="n">
        <v>0</v>
      </c>
      <c r="J31" s="72" t="str">
        <f aca="false">IF($I31="","n/a",IF($H31=$I31,"ok","MISMATCH"))</f>
        <v>ok</v>
      </c>
      <c r="K31" s="73" t="n">
        <v>12500</v>
      </c>
      <c r="L31" s="74"/>
      <c r="N31" s="38" t="s">
        <v>161</v>
      </c>
    </row>
    <row r="32" customFormat="false" ht="15" hidden="false" customHeight="true" outlineLevel="0" collapsed="false">
      <c r="B32" s="121" t="s">
        <v>114</v>
      </c>
      <c r="C32" s="66" t="s">
        <v>921</v>
      </c>
      <c r="D32" s="69" t="n">
        <v>1</v>
      </c>
      <c r="E32" s="68" t="n">
        <v>1</v>
      </c>
      <c r="F32" s="71" t="n">
        <v>1550</v>
      </c>
      <c r="G32" s="69" t="s">
        <v>916</v>
      </c>
      <c r="H32" s="70" t="n">
        <f aca="false">IF($G32="","",IFERROR(LOOKUP(VALUE(LEFT($G32&amp;"",FIND("-",$G32&amp;"-")-1)),$C$48:$C$53,$D$48:$D$53),""))</f>
        <v>0</v>
      </c>
      <c r="I32" s="71"/>
      <c r="J32" s="72" t="str">
        <f aca="false">IF($I32="","n/a",IF($H32=$I32,"ok","MISMATCH"))</f>
        <v>n/a</v>
      </c>
      <c r="K32" s="73" t="n">
        <v>12500</v>
      </c>
      <c r="L32" s="74" t="s">
        <v>922</v>
      </c>
      <c r="N32" s="38" t="s">
        <v>114</v>
      </c>
    </row>
    <row r="33" customFormat="false" ht="15" hidden="false" customHeight="true" outlineLevel="0" collapsed="false">
      <c r="B33" s="121" t="s">
        <v>923</v>
      </c>
      <c r="C33" s="66" t="s">
        <v>924</v>
      </c>
      <c r="D33" s="69" t="n">
        <v>32</v>
      </c>
      <c r="E33" s="68" t="n">
        <v>104</v>
      </c>
      <c r="F33" s="71" t="n">
        <v>195</v>
      </c>
      <c r="G33" s="69" t="s">
        <v>916</v>
      </c>
      <c r="H33" s="70" t="n">
        <f aca="false">IF($G33="","",IFERROR(LOOKUP(VALUE(LEFT($G33&amp;"",FIND("-",$G33&amp;"-")-1)),$C$48:$C$53,$D$48:$D$53),""))</f>
        <v>0</v>
      </c>
      <c r="I33" s="71"/>
      <c r="J33" s="72" t="str">
        <f aca="false">IF($I33="","n/a",IF($H33=$I33,"ok","MISMATCH"))</f>
        <v>n/a</v>
      </c>
      <c r="K33" s="73" t="n">
        <v>12500</v>
      </c>
      <c r="L33" s="74" t="s">
        <v>925</v>
      </c>
      <c r="N33" s="38" t="s">
        <v>923</v>
      </c>
    </row>
    <row r="34" customFormat="false" ht="15" hidden="false" customHeight="true" outlineLevel="0" collapsed="false">
      <c r="B34" s="121" t="s">
        <v>265</v>
      </c>
      <c r="C34" s="66" t="s">
        <v>926</v>
      </c>
      <c r="D34" s="69" t="n">
        <v>20</v>
      </c>
      <c r="E34" s="68" t="n">
        <v>26</v>
      </c>
      <c r="F34" s="71" t="n">
        <v>640</v>
      </c>
      <c r="G34" s="69" t="s">
        <v>916</v>
      </c>
      <c r="H34" s="70" t="n">
        <f aca="false">IF($G34="","",IFERROR(LOOKUP(VALUE(LEFT($G34&amp;"",FIND("-",$G34&amp;"-")-1)),$C$48:$C$53,$D$48:$D$53),""))</f>
        <v>0</v>
      </c>
      <c r="I34" s="71"/>
      <c r="J34" s="72" t="str">
        <f aca="false">IF($I34="","n/a",IF($H34=$I34,"ok","MISMATCH"))</f>
        <v>n/a</v>
      </c>
      <c r="K34" s="73" t="n">
        <v>12500</v>
      </c>
      <c r="L34" s="74"/>
      <c r="N34" s="38" t="s">
        <v>265</v>
      </c>
    </row>
    <row r="35" customFormat="false" ht="15" hidden="false" customHeight="true" outlineLevel="0" collapsed="false">
      <c r="B35" s="121" t="s">
        <v>398</v>
      </c>
      <c r="C35" s="66" t="s">
        <v>927</v>
      </c>
      <c r="D35" s="69" t="n">
        <v>29</v>
      </c>
      <c r="E35" s="68" t="n">
        <v>63</v>
      </c>
      <c r="F35" s="71" t="n">
        <v>265</v>
      </c>
      <c r="G35" s="69" t="s">
        <v>928</v>
      </c>
      <c r="H35" s="70" t="n">
        <f aca="false">IF($G35="","",IFERROR(LOOKUP(VALUE(LEFT($G35&amp;"",FIND("-",$G35&amp;"-")-1)),$C$48:$C$53,$D$48:$D$53),""))</f>
        <v>0</v>
      </c>
      <c r="I35" s="71"/>
      <c r="J35" s="72" t="str">
        <f aca="false">IF($I35="","n/a",IF($H35=$I35,"ok","MISMATCH"))</f>
        <v>n/a</v>
      </c>
      <c r="K35" s="73" t="n">
        <v>7500</v>
      </c>
      <c r="L35" s="74"/>
      <c r="N35" s="38" t="s">
        <v>398</v>
      </c>
    </row>
    <row r="36" customFormat="false" ht="15" hidden="false" customHeight="true" outlineLevel="0" collapsed="false">
      <c r="B36" s="121" t="s">
        <v>152</v>
      </c>
      <c r="C36" s="66" t="s">
        <v>929</v>
      </c>
      <c r="D36" s="69" t="n">
        <v>10</v>
      </c>
      <c r="E36" s="68" t="n">
        <v>10</v>
      </c>
      <c r="F36" s="71" t="n">
        <v>1060</v>
      </c>
      <c r="G36" s="69" t="s">
        <v>928</v>
      </c>
      <c r="H36" s="70" t="n">
        <f aca="false">IF($G36="","",IFERROR(LOOKUP(VALUE(LEFT($G36&amp;"",FIND("-",$G36&amp;"-")-1)),$C$48:$C$53,$D$48:$D$53),""))</f>
        <v>0</v>
      </c>
      <c r="I36" s="71" t="n">
        <v>0</v>
      </c>
      <c r="J36" s="72" t="str">
        <f aca="false">IF($I36="","n/a",IF($H36=$I36,"ok","MISMATCH"))</f>
        <v>ok</v>
      </c>
      <c r="K36" s="73" t="n">
        <v>7500</v>
      </c>
      <c r="L36" s="74" t="s">
        <v>930</v>
      </c>
      <c r="N36" s="38" t="s">
        <v>152</v>
      </c>
    </row>
    <row r="37" customFormat="false" ht="15" hidden="false" customHeight="true" outlineLevel="0" collapsed="false">
      <c r="B37" s="121" t="s">
        <v>931</v>
      </c>
      <c r="C37" s="66" t="s">
        <v>932</v>
      </c>
      <c r="D37" s="69" t="n">
        <v>18</v>
      </c>
      <c r="E37" s="68" t="n">
        <v>21</v>
      </c>
      <c r="F37" s="71" t="n">
        <v>690</v>
      </c>
      <c r="G37" s="69" t="s">
        <v>928</v>
      </c>
      <c r="H37" s="70" t="n">
        <f aca="false">IF($G37="","",IFERROR(LOOKUP(VALUE(LEFT($G37&amp;"",FIND("-",$G37&amp;"-")-1)),$C$48:$C$53,$D$48:$D$53),""))</f>
        <v>0</v>
      </c>
      <c r="I37" s="71"/>
      <c r="J37" s="72" t="str">
        <f aca="false">IF($I37="","n/a",IF($H37=$I37,"ok","MISMATCH"))</f>
        <v>n/a</v>
      </c>
      <c r="K37" s="73" t="n">
        <v>7500</v>
      </c>
      <c r="L37" s="74"/>
      <c r="N37" s="38" t="s">
        <v>931</v>
      </c>
    </row>
    <row r="38" customFormat="false" ht="15" hidden="false" customHeight="true" outlineLevel="0" collapsed="false">
      <c r="B38" s="121" t="s">
        <v>210</v>
      </c>
      <c r="C38" s="66" t="s">
        <v>933</v>
      </c>
      <c r="D38" s="69" t="n">
        <v>11</v>
      </c>
      <c r="E38" s="68" t="n">
        <v>11</v>
      </c>
      <c r="F38" s="71" t="n">
        <v>1000</v>
      </c>
      <c r="G38" s="69" t="s">
        <v>928</v>
      </c>
      <c r="H38" s="70" t="n">
        <f aca="false">IF($G38="","",IFERROR(LOOKUP(VALUE(LEFT($G38&amp;"",FIND("-",$G38&amp;"-")-1)),$C$48:$C$53,$D$48:$D$53),""))</f>
        <v>0</v>
      </c>
      <c r="I38" s="71"/>
      <c r="J38" s="72" t="str">
        <f aca="false">IF($I38="","n/a",IF($H38=$I38,"ok","MISMATCH"))</f>
        <v>n/a</v>
      </c>
      <c r="K38" s="73" t="n">
        <v>7500</v>
      </c>
      <c r="L38" s="74"/>
      <c r="N38" s="38" t="s">
        <v>210</v>
      </c>
    </row>
    <row r="39" customFormat="false" ht="15" hidden="false" customHeight="true" outlineLevel="0" collapsed="false">
      <c r="B39" s="121" t="s">
        <v>398</v>
      </c>
      <c r="C39" s="66" t="s">
        <v>934</v>
      </c>
      <c r="D39" s="69" t="n">
        <v>23</v>
      </c>
      <c r="E39" s="68" t="n">
        <v>29</v>
      </c>
      <c r="F39" s="71" t="n">
        <v>560</v>
      </c>
      <c r="G39" s="69" t="s">
        <v>928</v>
      </c>
      <c r="H39" s="70" t="n">
        <f aca="false">IF($G39="","",IFERROR(LOOKUP(VALUE(LEFT($G39&amp;"",FIND("-",$G39&amp;"-")-1)),$C$48:$C$53,$D$48:$D$53),""))</f>
        <v>0</v>
      </c>
      <c r="I39" s="71"/>
      <c r="J39" s="72" t="str">
        <f aca="false">IF($I39="","n/a",IF($H39=$I39,"ok","MISMATCH"))</f>
        <v>n/a</v>
      </c>
      <c r="K39" s="73" t="n">
        <v>7500</v>
      </c>
      <c r="L39" s="74"/>
      <c r="N39" s="38" t="s">
        <v>398</v>
      </c>
    </row>
    <row r="40" customFormat="false" ht="15" hidden="false" customHeight="true" outlineLevel="0" collapsed="false">
      <c r="B40" s="122" t="s">
        <v>894</v>
      </c>
      <c r="C40" s="66" t="s">
        <v>935</v>
      </c>
      <c r="D40" s="69" t="n">
        <v>17</v>
      </c>
      <c r="E40" s="68" t="n">
        <v>20</v>
      </c>
      <c r="F40" s="71" t="n">
        <v>700</v>
      </c>
      <c r="G40" s="69" t="s">
        <v>928</v>
      </c>
      <c r="H40" s="70" t="n">
        <f aca="false">IF($G40="","",IFERROR(LOOKUP(VALUE(LEFT($G40&amp;"",FIND("-",$G40&amp;"-")-1)),$C$48:$C$53,$D$48:$D$53),""))</f>
        <v>0</v>
      </c>
      <c r="I40" s="71"/>
      <c r="J40" s="72" t="str">
        <f aca="false">IF($I40="","n/a",IF($H40=$I40,"ok","MISMATCH"))</f>
        <v>n/a</v>
      </c>
      <c r="K40" s="73" t="n">
        <v>7500</v>
      </c>
      <c r="L40" s="74"/>
      <c r="N40" s="38" t="s">
        <v>894</v>
      </c>
    </row>
    <row r="41" customFormat="false" ht="15" hidden="false" customHeight="true" outlineLevel="0" collapsed="false">
      <c r="B41" s="121" t="s">
        <v>210</v>
      </c>
      <c r="C41" s="66" t="s">
        <v>936</v>
      </c>
      <c r="D41" s="69" t="n">
        <v>7</v>
      </c>
      <c r="E41" s="68" t="n">
        <v>7</v>
      </c>
      <c r="F41" s="71" t="n">
        <v>1270</v>
      </c>
      <c r="G41" s="69" t="s">
        <v>928</v>
      </c>
      <c r="H41" s="70" t="n">
        <f aca="false">IF($G41="","",IFERROR(LOOKUP(VALUE(LEFT($G41&amp;"",FIND("-",$G41&amp;"-")-1)),$C$48:$C$53,$D$48:$D$53),""))</f>
        <v>0</v>
      </c>
      <c r="I41" s="71"/>
      <c r="J41" s="72" t="str">
        <f aca="false">IF($I41="","n/a",IF($H41=$I41,"ok","MISMATCH"))</f>
        <v>n/a</v>
      </c>
      <c r="K41" s="73" t="n">
        <v>7500</v>
      </c>
      <c r="L41" s="74" t="s">
        <v>937</v>
      </c>
      <c r="N41" s="38" t="s">
        <v>210</v>
      </c>
    </row>
    <row r="42" customFormat="false" ht="15" hidden="false" customHeight="true" outlineLevel="0" collapsed="false">
      <c r="B42" s="121" t="s">
        <v>938</v>
      </c>
      <c r="C42" s="66" t="s">
        <v>939</v>
      </c>
      <c r="D42" s="69" t="n">
        <v>26</v>
      </c>
      <c r="E42" s="68" t="n">
        <v>50</v>
      </c>
      <c r="F42" s="71" t="n">
        <v>330</v>
      </c>
      <c r="G42" s="69" t="s">
        <v>928</v>
      </c>
      <c r="H42" s="70" t="n">
        <f aca="false">IF($G42="","",IFERROR(LOOKUP(VALUE(LEFT($G42&amp;"",FIND("-",$G42&amp;"-")-1)),$C$48:$C$53,$D$48:$D$53),""))</f>
        <v>0</v>
      </c>
      <c r="I42" s="71"/>
      <c r="J42" s="72" t="str">
        <f aca="false">IF($I42="","n/a",IF($H42=$I42,"ok","MISMATCH"))</f>
        <v>n/a</v>
      </c>
      <c r="K42" s="73" t="n">
        <v>7500</v>
      </c>
      <c r="L42" s="74"/>
      <c r="N42" s="38" t="s">
        <v>938</v>
      </c>
    </row>
    <row r="44" customFormat="false" ht="15" hidden="false" customHeight="true" outlineLevel="0" collapsed="false">
      <c r="B44" s="11" t="s">
        <v>459</v>
      </c>
      <c r="H44" s="77" t="n">
        <f aca="false">SUM(H11:H42)</f>
        <v>3350</v>
      </c>
    </row>
    <row r="45" customFormat="false" ht="15" hidden="false" customHeight="true" outlineLevel="0" collapsed="false">
      <c r="B45" s="18" t="s">
        <v>940</v>
      </c>
    </row>
    <row r="46" customFormat="false" ht="15" hidden="false" customHeight="true" outlineLevel="0" collapsed="false">
      <c r="B46" s="11" t="s">
        <v>461</v>
      </c>
    </row>
    <row r="47" customFormat="false" ht="15" hidden="false" customHeight="true" outlineLevel="0" collapsed="false">
      <c r="B47" s="4" t="s">
        <v>463</v>
      </c>
      <c r="C47" s="4" t="s">
        <v>464</v>
      </c>
      <c r="D47" s="4" t="s">
        <v>465</v>
      </c>
    </row>
    <row r="48" customFormat="false" ht="15" hidden="false" customHeight="true" outlineLevel="0" collapsed="false">
      <c r="C48" s="13" t="n">
        <v>1</v>
      </c>
      <c r="D48" s="79" t="n">
        <v>1000</v>
      </c>
      <c r="E48" s="80" t="s">
        <v>466</v>
      </c>
    </row>
    <row r="49" customFormat="false" ht="15" hidden="false" customHeight="true" outlineLevel="0" collapsed="false">
      <c r="C49" s="13" t="n">
        <v>2</v>
      </c>
      <c r="D49" s="79" t="n">
        <v>750</v>
      </c>
      <c r="E49" s="80" t="s">
        <v>467</v>
      </c>
    </row>
    <row r="50" customFormat="false" ht="15" hidden="false" customHeight="true" outlineLevel="0" collapsed="false">
      <c r="C50" s="13" t="n">
        <v>3</v>
      </c>
      <c r="D50" s="79" t="n">
        <v>500</v>
      </c>
      <c r="E50" s="80" t="s">
        <v>468</v>
      </c>
    </row>
    <row r="51" customFormat="false" ht="15" hidden="false" customHeight="true" outlineLevel="0" collapsed="false">
      <c r="C51" s="13" t="n">
        <v>4</v>
      </c>
      <c r="D51" s="79" t="n">
        <v>300</v>
      </c>
      <c r="E51" s="80" t="s">
        <v>469</v>
      </c>
    </row>
    <row r="52" customFormat="false" ht="15" hidden="false" customHeight="true" outlineLevel="0" collapsed="false">
      <c r="C52" s="13" t="n">
        <v>5</v>
      </c>
      <c r="D52" s="79" t="n">
        <v>200</v>
      </c>
      <c r="E52" s="80" t="s">
        <v>537</v>
      </c>
    </row>
    <row r="53" customFormat="false" ht="15" hidden="false" customHeight="true" outlineLevel="0" collapsed="false">
      <c r="C53" s="13" t="n">
        <v>9</v>
      </c>
      <c r="D53" s="79" t="n">
        <v>0</v>
      </c>
      <c r="E53" s="80" t="s">
        <v>832</v>
      </c>
    </row>
    <row r="56" customFormat="false" ht="15" hidden="false" customHeight="true" outlineLevel="0" collapsed="false">
      <c r="B56" s="11" t="s">
        <v>941</v>
      </c>
    </row>
    <row r="57" customFormat="false" ht="15" hidden="false" customHeight="true" outlineLevel="0" collapsed="false">
      <c r="B57" s="3" t="s">
        <v>942</v>
      </c>
      <c r="C57" s="3"/>
      <c r="D57" s="3"/>
      <c r="E57" s="3"/>
      <c r="F57" s="3"/>
      <c r="G57" s="3"/>
      <c r="H57" s="3"/>
      <c r="I57" s="3"/>
      <c r="J57" s="3"/>
      <c r="K57" s="3"/>
      <c r="L57" s="3"/>
    </row>
    <row r="58" customFormat="false" ht="15" hidden="false" customHeight="true" outlineLevel="0" collapsed="false">
      <c r="B58" s="3"/>
      <c r="C58" s="3"/>
      <c r="D58" s="3"/>
      <c r="E58" s="3"/>
      <c r="F58" s="3"/>
      <c r="G58" s="3"/>
      <c r="H58" s="3"/>
      <c r="I58" s="3"/>
      <c r="J58" s="3"/>
      <c r="K58" s="3"/>
      <c r="L58" s="3"/>
    </row>
    <row r="59" customFormat="false" ht="15" hidden="false" customHeight="true" outlineLevel="0" collapsed="false">
      <c r="B59" s="3"/>
      <c r="C59" s="3"/>
      <c r="D59" s="3"/>
      <c r="E59" s="3"/>
      <c r="F59" s="3"/>
      <c r="G59" s="3"/>
      <c r="H59" s="3"/>
      <c r="I59" s="3"/>
      <c r="J59" s="3"/>
      <c r="K59" s="3"/>
      <c r="L59" s="3"/>
    </row>
    <row r="60" customFormat="false" ht="15" hidden="false" customHeight="true" outlineLevel="0" collapsed="false">
      <c r="B60" s="3"/>
      <c r="C60" s="3"/>
      <c r="D60" s="3"/>
      <c r="E60" s="3"/>
      <c r="F60" s="3"/>
      <c r="G60" s="3"/>
      <c r="H60" s="3"/>
      <c r="I60" s="3"/>
      <c r="J60" s="3"/>
      <c r="K60" s="3"/>
      <c r="L60" s="3"/>
    </row>
    <row r="61" customFormat="false" ht="15" hidden="false" customHeight="true" outlineLevel="0" collapsed="false">
      <c r="B61" s="3"/>
      <c r="C61" s="3"/>
      <c r="D61" s="3"/>
      <c r="E61" s="3"/>
      <c r="F61" s="3"/>
      <c r="G61" s="3"/>
      <c r="H61" s="3"/>
      <c r="I61" s="3"/>
      <c r="J61" s="3"/>
      <c r="K61" s="3"/>
      <c r="L61" s="3"/>
    </row>
    <row r="62" customFormat="false" ht="15" hidden="false" customHeight="true" outlineLevel="0" collapsed="false">
      <c r="B62" s="3"/>
      <c r="C62" s="3"/>
      <c r="D62" s="3"/>
      <c r="E62" s="3"/>
      <c r="F62" s="3"/>
      <c r="G62" s="3"/>
      <c r="H62" s="3"/>
      <c r="I62" s="3"/>
      <c r="J62" s="3"/>
      <c r="K62" s="3"/>
      <c r="L62" s="3"/>
    </row>
    <row r="63" customFormat="false" ht="15" hidden="false" customHeight="true" outlineLevel="0" collapsed="false">
      <c r="B63" s="3"/>
      <c r="C63" s="3"/>
      <c r="D63" s="3"/>
      <c r="E63" s="3"/>
      <c r="F63" s="3"/>
      <c r="G63" s="3"/>
      <c r="H63" s="3"/>
      <c r="I63" s="3"/>
      <c r="J63" s="3"/>
      <c r="K63" s="3"/>
      <c r="L63" s="3"/>
    </row>
    <row r="65" customFormat="false" ht="23.25" hidden="false" customHeight="true" outlineLevel="0" collapsed="false">
      <c r="B65" s="4" t="s">
        <v>541</v>
      </c>
      <c r="C65" s="4" t="s">
        <v>488</v>
      </c>
      <c r="D65" s="4" t="s">
        <v>889</v>
      </c>
      <c r="E65" s="4" t="s">
        <v>835</v>
      </c>
      <c r="F65" s="4" t="s">
        <v>544</v>
      </c>
    </row>
    <row r="66" customFormat="false" ht="15" hidden="false" customHeight="true" outlineLevel="0" collapsed="false">
      <c r="B66" s="13" t="n">
        <v>1</v>
      </c>
      <c r="C66" s="81" t="s">
        <v>921</v>
      </c>
      <c r="D66" s="68" t="n">
        <v>1</v>
      </c>
      <c r="E66" s="13" t="s">
        <v>916</v>
      </c>
      <c r="F66" s="95" t="n">
        <v>-16</v>
      </c>
    </row>
    <row r="67" customFormat="false" ht="15" hidden="false" customHeight="true" outlineLevel="0" collapsed="false">
      <c r="B67" s="13" t="n">
        <v>2</v>
      </c>
      <c r="C67" s="81" t="s">
        <v>897</v>
      </c>
      <c r="D67" s="68" t="n">
        <v>2</v>
      </c>
      <c r="E67" s="13" t="s">
        <v>431</v>
      </c>
      <c r="F67" s="95" t="n">
        <v>-2</v>
      </c>
    </row>
    <row r="68" customFormat="false" ht="15" hidden="false" customHeight="true" outlineLevel="0" collapsed="false">
      <c r="B68" s="13" t="n">
        <v>3</v>
      </c>
      <c r="C68" s="81" t="s">
        <v>919</v>
      </c>
      <c r="D68" s="68" t="n">
        <v>3</v>
      </c>
      <c r="E68" s="13" t="s">
        <v>916</v>
      </c>
      <c r="F68" s="95" t="n">
        <v>-14</v>
      </c>
    </row>
    <row r="69" customFormat="false" ht="15" hidden="false" customHeight="true" outlineLevel="0" collapsed="false">
      <c r="B69" s="13" t="n">
        <v>4</v>
      </c>
      <c r="C69" s="81" t="s">
        <v>893</v>
      </c>
      <c r="D69" s="68" t="n">
        <v>4</v>
      </c>
      <c r="E69" s="13" t="s">
        <v>428</v>
      </c>
      <c r="F69" s="96" t="n">
        <v>2</v>
      </c>
    </row>
    <row r="70" customFormat="false" ht="15" hidden="false" customHeight="true" outlineLevel="0" collapsed="false">
      <c r="B70" s="13" t="n">
        <v>5</v>
      </c>
      <c r="C70" s="81" t="s">
        <v>907</v>
      </c>
      <c r="D70" s="68" t="n">
        <v>5</v>
      </c>
      <c r="E70" s="13" t="s">
        <v>506</v>
      </c>
      <c r="F70" s="95" t="n">
        <v>-4</v>
      </c>
    </row>
    <row r="71" customFormat="false" ht="15" hidden="false" customHeight="true" outlineLevel="0" collapsed="false">
      <c r="B71" s="13" t="n">
        <v>6</v>
      </c>
      <c r="C71" s="81" t="s">
        <v>920</v>
      </c>
      <c r="D71" s="68" t="n">
        <v>6</v>
      </c>
      <c r="E71" s="13" t="s">
        <v>916</v>
      </c>
      <c r="F71" s="95" t="n">
        <v>-11</v>
      </c>
    </row>
    <row r="72" customFormat="false" ht="15" hidden="false" customHeight="true" outlineLevel="0" collapsed="false">
      <c r="B72" s="13" t="n">
        <v>7</v>
      </c>
      <c r="C72" s="81" t="s">
        <v>936</v>
      </c>
      <c r="D72" s="68" t="n">
        <v>7</v>
      </c>
      <c r="E72" s="13" t="s">
        <v>928</v>
      </c>
      <c r="F72" s="95" t="n">
        <v>-18</v>
      </c>
    </row>
    <row r="73" customFormat="false" ht="15" hidden="false" customHeight="true" outlineLevel="0" collapsed="false">
      <c r="B73" s="13" t="n">
        <v>8</v>
      </c>
      <c r="C73" s="81" t="s">
        <v>914</v>
      </c>
      <c r="D73" s="68" t="n">
        <v>8</v>
      </c>
      <c r="E73" s="13" t="s">
        <v>514</v>
      </c>
      <c r="F73" s="95" t="n">
        <v>-5</v>
      </c>
    </row>
    <row r="74" customFormat="false" ht="15" hidden="false" customHeight="true" outlineLevel="0" collapsed="false">
      <c r="B74" s="13" t="n">
        <v>9</v>
      </c>
      <c r="C74" s="81" t="s">
        <v>899</v>
      </c>
      <c r="D74" s="68" t="n">
        <v>9</v>
      </c>
      <c r="E74" s="13" t="s">
        <v>432</v>
      </c>
      <c r="F74" s="96" t="n">
        <v>4</v>
      </c>
    </row>
    <row r="75" customFormat="false" ht="15" hidden="false" customHeight="true" outlineLevel="0" collapsed="false">
      <c r="B75" s="13" t="n">
        <v>10</v>
      </c>
      <c r="C75" s="81" t="s">
        <v>929</v>
      </c>
      <c r="D75" s="68" t="n">
        <v>10</v>
      </c>
      <c r="E75" s="13" t="s">
        <v>928</v>
      </c>
      <c r="F75" s="95" t="n">
        <v>-15</v>
      </c>
    </row>
    <row r="76" customFormat="false" ht="15" hidden="false" customHeight="true" outlineLevel="0" collapsed="false">
      <c r="B76" s="13" t="n">
        <v>11</v>
      </c>
      <c r="C76" s="81" t="s">
        <v>933</v>
      </c>
      <c r="D76" s="68" t="n">
        <v>11</v>
      </c>
      <c r="E76" s="13" t="s">
        <v>928</v>
      </c>
      <c r="F76" s="95" t="n">
        <v>-14</v>
      </c>
    </row>
    <row r="77" customFormat="false" ht="15" hidden="false" customHeight="true" outlineLevel="0" collapsed="false">
      <c r="B77" s="13" t="n">
        <v>12</v>
      </c>
      <c r="C77" s="81" t="s">
        <v>909</v>
      </c>
      <c r="D77" s="68" t="n">
        <v>13</v>
      </c>
      <c r="E77" s="13" t="s">
        <v>506</v>
      </c>
      <c r="F77" s="96" t="n">
        <v>3</v>
      </c>
    </row>
    <row r="78" customFormat="false" ht="15" hidden="false" customHeight="true" outlineLevel="0" collapsed="false">
      <c r="B78" s="13" t="n">
        <v>13</v>
      </c>
      <c r="C78" s="81" t="s">
        <v>898</v>
      </c>
      <c r="D78" s="68" t="n">
        <v>14</v>
      </c>
      <c r="E78" s="13" t="s">
        <v>432</v>
      </c>
      <c r="F78" s="96" t="n">
        <v>8</v>
      </c>
    </row>
    <row r="79" customFormat="false" ht="15" hidden="false" customHeight="true" outlineLevel="0" collapsed="false">
      <c r="B79" s="13" t="n">
        <v>14</v>
      </c>
      <c r="C79" s="81" t="s">
        <v>910</v>
      </c>
      <c r="D79" s="68" t="n">
        <v>15</v>
      </c>
      <c r="E79" s="13" t="s">
        <v>514</v>
      </c>
      <c r="F79" s="96" t="n">
        <v>1</v>
      </c>
    </row>
    <row r="80" customFormat="false" ht="15" hidden="false" customHeight="true" outlineLevel="0" collapsed="false">
      <c r="B80" s="13" t="n">
        <v>15</v>
      </c>
      <c r="C80" s="81" t="s">
        <v>918</v>
      </c>
      <c r="D80" s="68" t="n">
        <v>17</v>
      </c>
      <c r="E80" s="13" t="s">
        <v>916</v>
      </c>
      <c r="F80" s="95" t="n">
        <v>-2</v>
      </c>
    </row>
    <row r="81" customFormat="false" ht="15" hidden="false" customHeight="true" outlineLevel="0" collapsed="false">
      <c r="B81" s="13" t="n">
        <v>16</v>
      </c>
      <c r="C81" s="81" t="s">
        <v>917</v>
      </c>
      <c r="D81" s="68" t="n">
        <v>18</v>
      </c>
      <c r="E81" s="13" t="s">
        <v>916</v>
      </c>
      <c r="F81" s="95" t="n">
        <v>-1</v>
      </c>
    </row>
    <row r="82" customFormat="false" ht="15" hidden="false" customHeight="true" outlineLevel="0" collapsed="false">
      <c r="B82" s="13" t="n">
        <v>17</v>
      </c>
      <c r="C82" s="81" t="s">
        <v>935</v>
      </c>
      <c r="D82" s="68" t="n">
        <v>20</v>
      </c>
      <c r="E82" s="13" t="s">
        <v>928</v>
      </c>
      <c r="F82" s="95" t="n">
        <v>-8</v>
      </c>
    </row>
    <row r="83" customFormat="false" ht="15" hidden="false" customHeight="true" outlineLevel="0" collapsed="false">
      <c r="B83" s="13" t="n">
        <v>18</v>
      </c>
      <c r="C83" s="81" t="s">
        <v>932</v>
      </c>
      <c r="D83" s="68" t="n">
        <v>21</v>
      </c>
      <c r="E83" s="13" t="s">
        <v>928</v>
      </c>
      <c r="F83" s="95" t="n">
        <v>-7</v>
      </c>
    </row>
    <row r="84" customFormat="false" ht="15" hidden="false" customHeight="true" outlineLevel="0" collapsed="false">
      <c r="B84" s="13" t="n">
        <v>19</v>
      </c>
      <c r="C84" s="81" t="s">
        <v>895</v>
      </c>
      <c r="D84" s="68" t="n">
        <v>23</v>
      </c>
      <c r="E84" s="13" t="s">
        <v>430</v>
      </c>
      <c r="F84" s="96" t="n">
        <v>16</v>
      </c>
    </row>
    <row r="85" customFormat="false" ht="15" hidden="false" customHeight="true" outlineLevel="0" collapsed="false">
      <c r="B85" s="13" t="n">
        <v>20</v>
      </c>
      <c r="C85" s="81" t="s">
        <v>926</v>
      </c>
      <c r="D85" s="68" t="n">
        <v>26</v>
      </c>
      <c r="E85" s="13" t="s">
        <v>916</v>
      </c>
      <c r="F85" s="96" t="n">
        <v>3</v>
      </c>
    </row>
    <row r="86" customFormat="false" ht="15" hidden="false" customHeight="true" outlineLevel="0" collapsed="false">
      <c r="B86" s="13" t="n">
        <v>21</v>
      </c>
      <c r="C86" s="81" t="s">
        <v>904</v>
      </c>
      <c r="D86" s="68" t="n">
        <v>27</v>
      </c>
      <c r="E86" s="13" t="s">
        <v>506</v>
      </c>
      <c r="F86" s="96" t="n">
        <v>12</v>
      </c>
    </row>
    <row r="87" customFormat="false" ht="15" hidden="false" customHeight="true" outlineLevel="0" collapsed="false">
      <c r="B87" s="13" t="n">
        <v>22</v>
      </c>
      <c r="C87" s="81" t="s">
        <v>915</v>
      </c>
      <c r="D87" s="68" t="n">
        <v>28</v>
      </c>
      <c r="E87" s="13" t="s">
        <v>916</v>
      </c>
      <c r="F87" s="96" t="n">
        <v>5</v>
      </c>
    </row>
    <row r="88" customFormat="false" ht="15" hidden="false" customHeight="true" outlineLevel="0" collapsed="false">
      <c r="B88" s="13" t="n">
        <v>23</v>
      </c>
      <c r="C88" s="81" t="s">
        <v>934</v>
      </c>
      <c r="D88" s="68" t="n">
        <v>29</v>
      </c>
      <c r="E88" s="13" t="s">
        <v>928</v>
      </c>
      <c r="F88" s="95" t="n">
        <v>-2</v>
      </c>
    </row>
    <row r="89" customFormat="false" ht="15" hidden="false" customHeight="true" outlineLevel="0" collapsed="false">
      <c r="B89" s="13" t="n">
        <v>24</v>
      </c>
      <c r="C89" s="81" t="s">
        <v>913</v>
      </c>
      <c r="D89" s="68" t="n">
        <v>31</v>
      </c>
      <c r="E89" s="13" t="s">
        <v>514</v>
      </c>
      <c r="F89" s="96" t="n">
        <v>11</v>
      </c>
    </row>
    <row r="90" customFormat="false" ht="15" hidden="false" customHeight="true" outlineLevel="0" collapsed="false">
      <c r="B90" s="13" t="n">
        <v>25</v>
      </c>
      <c r="C90" s="81" t="s">
        <v>905</v>
      </c>
      <c r="D90" s="68" t="n">
        <v>48</v>
      </c>
      <c r="E90" s="13" t="s">
        <v>506</v>
      </c>
      <c r="F90" s="96" t="n">
        <v>16</v>
      </c>
    </row>
    <row r="91" customFormat="false" ht="15" hidden="false" customHeight="true" outlineLevel="0" collapsed="false">
      <c r="B91" s="13" t="n">
        <v>26</v>
      </c>
      <c r="C91" s="81" t="s">
        <v>939</v>
      </c>
      <c r="D91" s="68" t="n">
        <v>50</v>
      </c>
      <c r="E91" s="13" t="s">
        <v>928</v>
      </c>
      <c r="F91" s="96" t="n">
        <v>1</v>
      </c>
    </row>
    <row r="92" customFormat="false" ht="15" hidden="false" customHeight="true" outlineLevel="0" collapsed="false">
      <c r="B92" s="13" t="n">
        <v>27</v>
      </c>
      <c r="C92" s="81" t="s">
        <v>891</v>
      </c>
      <c r="D92" s="68" t="n">
        <v>52</v>
      </c>
      <c r="E92" s="13" t="s">
        <v>427</v>
      </c>
      <c r="F92" s="96" t="n">
        <v>26</v>
      </c>
    </row>
    <row r="93" customFormat="false" ht="15" hidden="false" customHeight="true" outlineLevel="0" collapsed="false">
      <c r="B93" s="13" t="n">
        <v>28</v>
      </c>
      <c r="C93" s="81" t="s">
        <v>902</v>
      </c>
      <c r="D93" s="68" t="n">
        <v>61</v>
      </c>
      <c r="E93" s="13" t="s">
        <v>432</v>
      </c>
      <c r="F93" s="96" t="n">
        <v>23</v>
      </c>
    </row>
    <row r="94" customFormat="false" ht="15" hidden="false" customHeight="true" outlineLevel="0" collapsed="false">
      <c r="B94" s="13" t="n">
        <v>29</v>
      </c>
      <c r="C94" s="81" t="s">
        <v>927</v>
      </c>
      <c r="D94" s="68" t="n">
        <v>63</v>
      </c>
      <c r="E94" s="13" t="s">
        <v>928</v>
      </c>
      <c r="F94" s="96" t="n">
        <v>4</v>
      </c>
    </row>
    <row r="95" customFormat="false" ht="15" hidden="false" customHeight="true" outlineLevel="0" collapsed="false">
      <c r="B95" s="13" t="n">
        <v>30</v>
      </c>
      <c r="C95" s="81" t="s">
        <v>911</v>
      </c>
      <c r="D95" s="68" t="n">
        <v>74</v>
      </c>
      <c r="E95" s="13" t="s">
        <v>514</v>
      </c>
      <c r="F95" s="96" t="n">
        <v>17</v>
      </c>
    </row>
    <row r="96" customFormat="false" ht="15" hidden="false" customHeight="true" outlineLevel="0" collapsed="false">
      <c r="B96" s="13" t="n">
        <v>31</v>
      </c>
      <c r="C96" s="81" t="s">
        <v>900</v>
      </c>
      <c r="D96" s="68" t="n">
        <v>81</v>
      </c>
      <c r="E96" s="13" t="s">
        <v>432</v>
      </c>
      <c r="F96" s="96" t="n">
        <v>26</v>
      </c>
    </row>
    <row r="97" customFormat="false" ht="15" hidden="false" customHeight="true" outlineLevel="0" collapsed="false">
      <c r="B97" s="13" t="n">
        <v>32</v>
      </c>
      <c r="C97" s="81" t="s">
        <v>924</v>
      </c>
      <c r="D97" s="68" t="n">
        <v>104</v>
      </c>
      <c r="E97" s="13" t="s">
        <v>916</v>
      </c>
      <c r="F97" s="96" t="n">
        <v>15</v>
      </c>
    </row>
    <row r="99" customFormat="false" ht="15" hidden="false" customHeight="true" outlineLevel="0" collapsed="false">
      <c r="B99" s="93" t="s">
        <v>943</v>
      </c>
    </row>
  </sheetData>
  <sheetProtection sheet="true" formatCells="false" selectLockedCells="true" selectUnlockedCells="true"/>
  <mergeCells count="1">
    <mergeCell ref="B57:L63"/>
  </mergeCells>
  <dataValidations count="1">
    <dataValidation allowBlank="true" error="Pick a placement from the list — free text breaks the points lookup." errorStyle="stop" errorTitle="Use the dropdown" operator="between" showDropDown="false" showErrorMessage="false" showInputMessage="false" sqref="G11:G42" type="list">
      <formula1>"1,2,3,4,5-8,9-12,13-16,17-24,25-32"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0" topLeftCell="D11" activePane="bottomRight" state="frozen"/>
      <selection pane="topLeft" activeCell="A1" activeCellId="0" sqref="A1"/>
      <selection pane="topRight" activeCell="D1" activeCellId="0" sqref="D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18"/>
    <col collapsed="false" customWidth="true" hidden="false" outlineLevel="0" max="4" min="4" style="1" width="8"/>
    <col collapsed="false" customWidth="true" hidden="false" outlineLevel="0" max="5" min="5" style="1" width="10"/>
    <col collapsed="false" customWidth="true" hidden="false" outlineLevel="0" max="6" min="6" style="1" width="11"/>
    <col collapsed="false" customWidth="true" hidden="false" outlineLevel="0" max="7" min="7" style="1" width="13"/>
    <col collapsed="false" customWidth="true" hidden="false" outlineLevel="0" max="8" min="8" style="1" width="11"/>
    <col collapsed="false" customWidth="true" hidden="false" outlineLevel="0" max="9" min="9" style="1" width="12"/>
    <col collapsed="false" customWidth="true" hidden="false" outlineLevel="0" max="10" min="10" style="1" width="15"/>
    <col collapsed="false" customWidth="true" hidden="false" outlineLevel="0" max="11" min="11" style="1" width="10"/>
    <col collapsed="false" customWidth="true" hidden="false" outlineLevel="0" max="12" min="12" style="1" width="12"/>
    <col collapsed="false" customWidth="true" hidden="false" outlineLevel="0" max="13" min="13" style="1" width="24"/>
  </cols>
  <sheetData>
    <row r="2" customFormat="false" ht="18" hidden="false" customHeight="true" outlineLevel="0" collapsed="false">
      <c r="B2" s="2" t="s">
        <v>944</v>
      </c>
    </row>
    <row r="3" customFormat="false" ht="15" hidden="false" customHeight="true" outlineLevel="0" collapsed="false">
      <c r="B3" s="93" t="s">
        <v>945</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884</v>
      </c>
      <c r="D6" s="28" t="s">
        <v>771</v>
      </c>
      <c r="F6" s="28" t="s">
        <v>946</v>
      </c>
      <c r="H6" s="28" t="s">
        <v>947</v>
      </c>
      <c r="J6" s="28" t="s">
        <v>948</v>
      </c>
      <c r="L6" s="28" t="s">
        <v>887</v>
      </c>
    </row>
    <row r="8" customFormat="false" ht="15" hidden="false" customHeight="true" outlineLevel="0" collapsed="false">
      <c r="B8" s="11" t="s">
        <v>416</v>
      </c>
    </row>
    <row r="9" customFormat="false" ht="15" hidden="false" customHeight="true" outlineLevel="0" collapsed="false">
      <c r="B9" s="18" t="s">
        <v>949</v>
      </c>
    </row>
    <row r="10" customFormat="false" ht="34.5" hidden="false" customHeight="true" outlineLevel="0" collapsed="false">
      <c r="B10" s="4" t="s">
        <v>418</v>
      </c>
      <c r="C10" s="4" t="s">
        <v>488</v>
      </c>
      <c r="D10" s="4" t="s">
        <v>541</v>
      </c>
      <c r="E10" s="4" t="s">
        <v>950</v>
      </c>
      <c r="F10" s="4" t="s">
        <v>951</v>
      </c>
      <c r="G10" s="4" t="s">
        <v>952</v>
      </c>
      <c r="H10" s="4" t="s">
        <v>421</v>
      </c>
      <c r="I10" s="4" t="s">
        <v>422</v>
      </c>
      <c r="J10" s="4" t="s">
        <v>423</v>
      </c>
      <c r="K10" s="4" t="s">
        <v>424</v>
      </c>
      <c r="L10" s="4" t="s">
        <v>425</v>
      </c>
      <c r="M10" s="4" t="s">
        <v>953</v>
      </c>
      <c r="O10" s="4" t="s">
        <v>426</v>
      </c>
    </row>
    <row r="11" customFormat="false" ht="15" hidden="false" customHeight="true" outlineLevel="0" collapsed="false">
      <c r="B11" s="117" t="s">
        <v>114</v>
      </c>
      <c r="C11" s="29" t="s">
        <v>954</v>
      </c>
      <c r="D11" s="30" t="n">
        <v>6</v>
      </c>
      <c r="E11" s="31" t="n">
        <v>9</v>
      </c>
      <c r="F11" s="34" t="n">
        <v>360</v>
      </c>
      <c r="G11" s="136" t="s">
        <v>93</v>
      </c>
      <c r="H11" s="32" t="s">
        <v>427</v>
      </c>
      <c r="I11" s="33" t="n">
        <f aca="false">IF($H11="","",IFERROR(LOOKUP(VALUE(LEFT($H11&amp;"",FIND("-",$H11&amp;"-")-1)),$C$48:$C$53,$D$48:$D$53),""))</f>
        <v>1000</v>
      </c>
      <c r="J11" s="34" t="n">
        <v>1000</v>
      </c>
      <c r="K11" s="35" t="str">
        <f aca="false">IF($J11="","n/a",IF($I11=$J11,"ok","MISMATCH"))</f>
        <v>ok</v>
      </c>
      <c r="L11" s="137" t="n">
        <v>250000</v>
      </c>
      <c r="M11" s="138" t="s">
        <v>955</v>
      </c>
      <c r="O11" s="38" t="s">
        <v>114</v>
      </c>
    </row>
    <row r="12" customFormat="false" ht="15" hidden="false" customHeight="true" outlineLevel="0" collapsed="false">
      <c r="B12" s="123" t="s">
        <v>956</v>
      </c>
      <c r="C12" s="39" t="s">
        <v>957</v>
      </c>
      <c r="D12" s="101"/>
      <c r="E12" s="41" t="s">
        <v>93</v>
      </c>
      <c r="F12" s="44"/>
      <c r="G12" s="102" t="s">
        <v>560</v>
      </c>
      <c r="H12" s="42" t="s">
        <v>428</v>
      </c>
      <c r="I12" s="43" t="n">
        <f aca="false">IF($H12="","",IFERROR(LOOKUP(VALUE(LEFT($H12&amp;"",FIND("-",$H12&amp;"-")-1)),$C$48:$C$53,$D$48:$D$53),""))</f>
        <v>750</v>
      </c>
      <c r="J12" s="44" t="n">
        <v>750</v>
      </c>
      <c r="K12" s="45" t="str">
        <f aca="false">IF($J12="","n/a",IF($I12=$J12,"ok","MISMATCH"))</f>
        <v>ok</v>
      </c>
      <c r="L12" s="139" t="n">
        <v>130000</v>
      </c>
      <c r="M12" s="133" t="s">
        <v>958</v>
      </c>
      <c r="O12" s="38" t="s">
        <v>956</v>
      </c>
    </row>
    <row r="13" customFormat="false" ht="15" hidden="false" customHeight="true" outlineLevel="0" collapsed="false">
      <c r="B13" s="119" t="s">
        <v>195</v>
      </c>
      <c r="C13" s="48" t="s">
        <v>959</v>
      </c>
      <c r="D13" s="49" t="n">
        <v>8</v>
      </c>
      <c r="E13" s="50" t="n">
        <v>12</v>
      </c>
      <c r="F13" s="53" t="n">
        <v>300</v>
      </c>
      <c r="G13" s="136" t="s">
        <v>93</v>
      </c>
      <c r="H13" s="51" t="s">
        <v>430</v>
      </c>
      <c r="I13" s="52" t="n">
        <f aca="false">IF($H13="","",IFERROR(LOOKUP(VALUE(LEFT($H13&amp;"",FIND("-",$H13&amp;"-")-1)),$C$48:$C$53,$D$48:$D$53),""))</f>
        <v>500</v>
      </c>
      <c r="J13" s="53" t="n">
        <v>500</v>
      </c>
      <c r="K13" s="54" t="str">
        <f aca="false">IF($J13="","n/a",IF($I13=$J13,"ok","MISMATCH"))</f>
        <v>ok</v>
      </c>
      <c r="L13" s="140" t="n">
        <v>70000</v>
      </c>
      <c r="M13" s="141" t="s">
        <v>955</v>
      </c>
      <c r="O13" s="38" t="s">
        <v>195</v>
      </c>
    </row>
    <row r="14" customFormat="false" ht="15" hidden="false" customHeight="true" outlineLevel="0" collapsed="false">
      <c r="B14" s="120" t="s">
        <v>208</v>
      </c>
      <c r="C14" s="57" t="s">
        <v>960</v>
      </c>
      <c r="D14" s="106"/>
      <c r="E14" s="59" t="s">
        <v>93</v>
      </c>
      <c r="F14" s="62"/>
      <c r="G14" s="102" t="s">
        <v>560</v>
      </c>
      <c r="H14" s="60" t="s">
        <v>431</v>
      </c>
      <c r="I14" s="61" t="n">
        <f aca="false">IF($H14="","",IFERROR(LOOKUP(VALUE(LEFT($H14&amp;"",FIND("-",$H14&amp;"-")-1)),$C$48:$C$53,$D$48:$D$53),""))</f>
        <v>300</v>
      </c>
      <c r="J14" s="62" t="n">
        <v>300</v>
      </c>
      <c r="K14" s="63" t="str">
        <f aca="false">IF($J14="","n/a",IF($I14=$J14,"ok","MISMATCH"))</f>
        <v>ok</v>
      </c>
      <c r="L14" s="142" t="n">
        <v>50000</v>
      </c>
      <c r="M14" s="129" t="s">
        <v>958</v>
      </c>
      <c r="O14" s="38" t="s">
        <v>208</v>
      </c>
    </row>
    <row r="15" customFormat="false" ht="15" hidden="false" customHeight="true" outlineLevel="0" collapsed="false">
      <c r="B15" s="120" t="s">
        <v>193</v>
      </c>
      <c r="C15" s="57" t="s">
        <v>961</v>
      </c>
      <c r="D15" s="58" t="n">
        <v>2</v>
      </c>
      <c r="E15" s="59" t="n">
        <v>2</v>
      </c>
      <c r="F15" s="62" t="n">
        <v>620</v>
      </c>
      <c r="G15" s="136" t="s">
        <v>93</v>
      </c>
      <c r="H15" s="60" t="s">
        <v>432</v>
      </c>
      <c r="I15" s="61" t="n">
        <f aca="false">IF($H15="","",IFERROR(LOOKUP(VALUE(LEFT($H15&amp;"",FIND("-",$H15&amp;"-")-1)),$C$48:$C$53,$D$48:$D$53),""))</f>
        <v>200</v>
      </c>
      <c r="J15" s="62" t="n">
        <v>200</v>
      </c>
      <c r="K15" s="63" t="str">
        <f aca="false">IF($J15="","n/a",IF($I15=$J15,"ok","MISMATCH"))</f>
        <v>ok</v>
      </c>
      <c r="L15" s="142" t="n">
        <v>37500</v>
      </c>
      <c r="M15" s="143" t="s">
        <v>955</v>
      </c>
      <c r="O15" s="38" t="s">
        <v>193</v>
      </c>
    </row>
    <row r="16" customFormat="false" ht="15" hidden="false" customHeight="true" outlineLevel="0" collapsed="false">
      <c r="B16" s="120" t="s">
        <v>150</v>
      </c>
      <c r="C16" s="57" t="s">
        <v>962</v>
      </c>
      <c r="D16" s="106"/>
      <c r="E16" s="59" t="s">
        <v>93</v>
      </c>
      <c r="F16" s="62"/>
      <c r="G16" s="102" t="s">
        <v>560</v>
      </c>
      <c r="H16" s="60" t="s">
        <v>432</v>
      </c>
      <c r="I16" s="61" t="n">
        <f aca="false">IF($H16="","",IFERROR(LOOKUP(VALUE(LEFT($H16&amp;"",FIND("-",$H16&amp;"-")-1)),$C$48:$C$53,$D$48:$D$53),""))</f>
        <v>200</v>
      </c>
      <c r="J16" s="62" t="n">
        <v>200</v>
      </c>
      <c r="K16" s="63" t="str">
        <f aca="false">IF($J16="","n/a",IF($I16=$J16,"ok","MISMATCH"))</f>
        <v>ok</v>
      </c>
      <c r="L16" s="142" t="n">
        <v>37500</v>
      </c>
      <c r="M16" s="129" t="s">
        <v>958</v>
      </c>
      <c r="O16" s="38" t="s">
        <v>150</v>
      </c>
    </row>
    <row r="17" customFormat="false" ht="15" hidden="false" customHeight="true" outlineLevel="0" collapsed="false">
      <c r="B17" s="120" t="s">
        <v>210</v>
      </c>
      <c r="C17" s="57" t="s">
        <v>963</v>
      </c>
      <c r="D17" s="106"/>
      <c r="E17" s="59" t="s">
        <v>93</v>
      </c>
      <c r="F17" s="62"/>
      <c r="G17" s="102" t="s">
        <v>560</v>
      </c>
      <c r="H17" s="60" t="s">
        <v>432</v>
      </c>
      <c r="I17" s="61" t="n">
        <f aca="false">IF($H17="","",IFERROR(LOOKUP(VALUE(LEFT($H17&amp;"",FIND("-",$H17&amp;"-")-1)),$C$48:$C$53,$D$48:$D$53),""))</f>
        <v>200</v>
      </c>
      <c r="J17" s="62" t="n">
        <v>200</v>
      </c>
      <c r="K17" s="63" t="str">
        <f aca="false">IF($J17="","n/a",IF($I17=$J17,"ok","MISMATCH"))</f>
        <v>ok</v>
      </c>
      <c r="L17" s="142" t="n">
        <v>37500</v>
      </c>
      <c r="M17" s="129" t="s">
        <v>958</v>
      </c>
      <c r="O17" s="38" t="s">
        <v>210</v>
      </c>
    </row>
    <row r="18" customFormat="false" ht="15" hidden="false" customHeight="true" outlineLevel="0" collapsed="false">
      <c r="B18" s="120" t="s">
        <v>386</v>
      </c>
      <c r="C18" s="57" t="s">
        <v>964</v>
      </c>
      <c r="D18" s="58" t="n">
        <v>7</v>
      </c>
      <c r="E18" s="59" t="n">
        <v>10</v>
      </c>
      <c r="F18" s="62" t="n">
        <v>360</v>
      </c>
      <c r="G18" s="136" t="s">
        <v>93</v>
      </c>
      <c r="H18" s="60" t="s">
        <v>432</v>
      </c>
      <c r="I18" s="61" t="n">
        <f aca="false">IF($H18="","",IFERROR(LOOKUP(VALUE(LEFT($H18&amp;"",FIND("-",$H18&amp;"-")-1)),$C$48:$C$53,$D$48:$D$53),""))</f>
        <v>200</v>
      </c>
      <c r="J18" s="62" t="n">
        <v>200</v>
      </c>
      <c r="K18" s="63" t="str">
        <f aca="false">IF($J18="","n/a",IF($I18=$J18,"ok","MISMATCH"))</f>
        <v>ok</v>
      </c>
      <c r="L18" s="142" t="n">
        <v>37500</v>
      </c>
      <c r="M18" s="143" t="s">
        <v>955</v>
      </c>
      <c r="O18" s="38" t="s">
        <v>386</v>
      </c>
    </row>
    <row r="19" customFormat="false" ht="15" hidden="false" customHeight="true" outlineLevel="0" collapsed="false">
      <c r="B19" s="121" t="s">
        <v>965</v>
      </c>
      <c r="C19" s="66" t="s">
        <v>966</v>
      </c>
      <c r="D19" s="14"/>
      <c r="E19" s="68" t="s">
        <v>93</v>
      </c>
      <c r="F19" s="71"/>
      <c r="G19" s="102" t="s">
        <v>560</v>
      </c>
      <c r="H19" s="69" t="s">
        <v>506</v>
      </c>
      <c r="I19" s="70" t="n">
        <f aca="false">IF($H19="","",IFERROR(LOOKUP(VALUE(LEFT($H19&amp;"",FIND("-",$H19&amp;"-")-1)),$C$48:$C$53,$D$48:$D$53),""))</f>
        <v>0</v>
      </c>
      <c r="J19" s="71"/>
      <c r="K19" s="72" t="str">
        <f aca="false">IF($J19="","n/a",IF($I19=$J19,"ok","MISMATCH"))</f>
        <v>n/a</v>
      </c>
      <c r="L19" s="144" t="n">
        <v>27500</v>
      </c>
      <c r="M19" s="74" t="s">
        <v>958</v>
      </c>
      <c r="O19" s="38" t="s">
        <v>965</v>
      </c>
    </row>
    <row r="20" customFormat="false" ht="15" hidden="false" customHeight="true" outlineLevel="0" collapsed="false">
      <c r="B20" s="121" t="s">
        <v>237</v>
      </c>
      <c r="C20" s="66" t="s">
        <v>967</v>
      </c>
      <c r="D20" s="67" t="n">
        <v>11</v>
      </c>
      <c r="E20" s="68" t="n">
        <v>18</v>
      </c>
      <c r="F20" s="71" t="n">
        <v>200</v>
      </c>
      <c r="G20" s="136" t="s">
        <v>93</v>
      </c>
      <c r="H20" s="69" t="s">
        <v>506</v>
      </c>
      <c r="I20" s="70" t="n">
        <f aca="false">IF($H20="","",IFERROR(LOOKUP(VALUE(LEFT($H20&amp;"",FIND("-",$H20&amp;"-")-1)),$C$48:$C$53,$D$48:$D$53),""))</f>
        <v>0</v>
      </c>
      <c r="J20" s="71" t="n">
        <v>0</v>
      </c>
      <c r="K20" s="72" t="str">
        <f aca="false">IF($J20="","n/a",IF($I20=$J20,"ok","MISMATCH"))</f>
        <v>ok</v>
      </c>
      <c r="L20" s="144" t="n">
        <v>27500</v>
      </c>
      <c r="M20" s="145" t="s">
        <v>955</v>
      </c>
      <c r="O20" s="38" t="s">
        <v>237</v>
      </c>
    </row>
    <row r="21" customFormat="false" ht="15" hidden="false" customHeight="true" outlineLevel="0" collapsed="false">
      <c r="B21" s="121" t="s">
        <v>208</v>
      </c>
      <c r="C21" s="66" t="s">
        <v>968</v>
      </c>
      <c r="D21" s="67" t="n">
        <v>5</v>
      </c>
      <c r="E21" s="68" t="n">
        <v>7</v>
      </c>
      <c r="F21" s="71" t="n">
        <v>430</v>
      </c>
      <c r="G21" s="136" t="s">
        <v>93</v>
      </c>
      <c r="H21" s="69" t="s">
        <v>506</v>
      </c>
      <c r="I21" s="70" t="n">
        <f aca="false">IF($H21="","",IFERROR(LOOKUP(VALUE(LEFT($H21&amp;"",FIND("-",$H21&amp;"-")-1)),$C$48:$C$53,$D$48:$D$53),""))</f>
        <v>0</v>
      </c>
      <c r="J21" s="71"/>
      <c r="K21" s="72" t="str">
        <f aca="false">IF($J21="","n/a",IF($I21=$J21,"ok","MISMATCH"))</f>
        <v>n/a</v>
      </c>
      <c r="L21" s="144" t="n">
        <v>27500</v>
      </c>
      <c r="M21" s="145" t="s">
        <v>955</v>
      </c>
      <c r="O21" s="38" t="s">
        <v>208</v>
      </c>
    </row>
    <row r="22" customFormat="false" ht="15" hidden="false" customHeight="true" outlineLevel="0" collapsed="false">
      <c r="B22" s="121" t="s">
        <v>114</v>
      </c>
      <c r="C22" s="66" t="s">
        <v>969</v>
      </c>
      <c r="D22" s="67" t="n">
        <v>1</v>
      </c>
      <c r="E22" s="68" t="n">
        <v>1</v>
      </c>
      <c r="F22" s="71" t="n">
        <v>650</v>
      </c>
      <c r="G22" s="136" t="s">
        <v>93</v>
      </c>
      <c r="H22" s="69" t="s">
        <v>506</v>
      </c>
      <c r="I22" s="70" t="n">
        <f aca="false">IF($H22="","",IFERROR(LOOKUP(VALUE(LEFT($H22&amp;"",FIND("-",$H22&amp;"-")-1)),$C$48:$C$53,$D$48:$D$53),""))</f>
        <v>0</v>
      </c>
      <c r="J22" s="71"/>
      <c r="K22" s="72" t="str">
        <f aca="false">IF($J22="","n/a",IF($I22=$J22,"ok","MISMATCH"))</f>
        <v>n/a</v>
      </c>
      <c r="L22" s="144" t="n">
        <v>27500</v>
      </c>
      <c r="M22" s="145" t="s">
        <v>955</v>
      </c>
      <c r="O22" s="38" t="s">
        <v>114</v>
      </c>
    </row>
    <row r="23" customFormat="false" ht="15" hidden="false" customHeight="true" outlineLevel="0" collapsed="false">
      <c r="B23" s="121" t="s">
        <v>265</v>
      </c>
      <c r="C23" s="66" t="s">
        <v>970</v>
      </c>
      <c r="D23" s="67" t="n">
        <v>12</v>
      </c>
      <c r="E23" s="68" t="n">
        <v>23</v>
      </c>
      <c r="F23" s="71" t="n">
        <v>170</v>
      </c>
      <c r="G23" s="136" t="s">
        <v>93</v>
      </c>
      <c r="H23" s="69" t="s">
        <v>514</v>
      </c>
      <c r="I23" s="70" t="n">
        <f aca="false">IF($H23="","",IFERROR(LOOKUP(VALUE(LEFT($H23&amp;"",FIND("-",$H23&amp;"-")-1)),$C$48:$C$53,$D$48:$D$53),""))</f>
        <v>0</v>
      </c>
      <c r="J23" s="71" t="n">
        <v>0</v>
      </c>
      <c r="K23" s="72" t="str">
        <f aca="false">IF($J23="","n/a",IF($I23=$J23,"ok","MISMATCH"))</f>
        <v>ok</v>
      </c>
      <c r="L23" s="144" t="n">
        <v>20000</v>
      </c>
      <c r="M23" s="145" t="s">
        <v>955</v>
      </c>
      <c r="O23" s="38" t="s">
        <v>265</v>
      </c>
    </row>
    <row r="24" customFormat="false" ht="15" hidden="false" customHeight="true" outlineLevel="0" collapsed="false">
      <c r="B24" s="121" t="s">
        <v>197</v>
      </c>
      <c r="C24" s="66" t="s">
        <v>971</v>
      </c>
      <c r="D24" s="14"/>
      <c r="E24" s="68" t="s">
        <v>93</v>
      </c>
      <c r="F24" s="71"/>
      <c r="G24" s="102" t="s">
        <v>560</v>
      </c>
      <c r="H24" s="69" t="s">
        <v>514</v>
      </c>
      <c r="I24" s="70" t="n">
        <f aca="false">IF($H24="","",IFERROR(LOOKUP(VALUE(LEFT($H24&amp;"",FIND("-",$H24&amp;"-")-1)),$C$48:$C$53,$D$48:$D$53),""))</f>
        <v>0</v>
      </c>
      <c r="J24" s="71" t="n">
        <v>0</v>
      </c>
      <c r="K24" s="72" t="str">
        <f aca="false">IF($J24="","n/a",IF($I24=$J24,"ok","MISMATCH"))</f>
        <v>ok</v>
      </c>
      <c r="L24" s="144" t="n">
        <v>20000</v>
      </c>
      <c r="M24" s="74" t="s">
        <v>958</v>
      </c>
      <c r="O24" s="38" t="s">
        <v>197</v>
      </c>
    </row>
    <row r="25" customFormat="false" ht="15" hidden="false" customHeight="true" outlineLevel="0" collapsed="false">
      <c r="B25" s="122" t="s">
        <v>894</v>
      </c>
      <c r="C25" s="66" t="s">
        <v>972</v>
      </c>
      <c r="D25" s="14"/>
      <c r="E25" s="68" t="s">
        <v>93</v>
      </c>
      <c r="F25" s="71"/>
      <c r="G25" s="102" t="s">
        <v>560</v>
      </c>
      <c r="H25" s="69" t="s">
        <v>514</v>
      </c>
      <c r="I25" s="70" t="n">
        <f aca="false">IF($H25="","",IFERROR(LOOKUP(VALUE(LEFT($H25&amp;"",FIND("-",$H25&amp;"-")-1)),$C$48:$C$53,$D$48:$D$53),""))</f>
        <v>0</v>
      </c>
      <c r="J25" s="71"/>
      <c r="K25" s="72" t="str">
        <f aca="false">IF($J25="","n/a",IF($I25=$J25,"ok","MISMATCH"))</f>
        <v>n/a</v>
      </c>
      <c r="L25" s="144" t="n">
        <v>20000</v>
      </c>
      <c r="M25" s="74" t="s">
        <v>958</v>
      </c>
      <c r="O25" s="38" t="s">
        <v>894</v>
      </c>
    </row>
    <row r="26" customFormat="false" ht="15" hidden="false" customHeight="true" outlineLevel="0" collapsed="false">
      <c r="B26" s="121" t="s">
        <v>324</v>
      </c>
      <c r="C26" s="66" t="s">
        <v>973</v>
      </c>
      <c r="D26" s="67" t="n">
        <v>10</v>
      </c>
      <c r="E26" s="68" t="n">
        <v>15</v>
      </c>
      <c r="F26" s="71" t="n">
        <v>220</v>
      </c>
      <c r="G26" s="136" t="s">
        <v>93</v>
      </c>
      <c r="H26" s="69" t="s">
        <v>514</v>
      </c>
      <c r="I26" s="70" t="n">
        <f aca="false">IF($H26="","",IFERROR(LOOKUP(VALUE(LEFT($H26&amp;"",FIND("-",$H26&amp;"-")-1)),$C$48:$C$53,$D$48:$D$53),""))</f>
        <v>0</v>
      </c>
      <c r="J26" s="71"/>
      <c r="K26" s="72" t="str">
        <f aca="false">IF($J26="","n/a",IF($I26=$J26,"ok","MISMATCH"))</f>
        <v>n/a</v>
      </c>
      <c r="L26" s="144" t="n">
        <v>20000</v>
      </c>
      <c r="M26" s="145" t="s">
        <v>955</v>
      </c>
      <c r="O26" s="38" t="s">
        <v>324</v>
      </c>
    </row>
    <row r="27" customFormat="false" ht="15" hidden="false" customHeight="true" outlineLevel="0" collapsed="false">
      <c r="B27" s="121" t="s">
        <v>127</v>
      </c>
      <c r="C27" s="66" t="s">
        <v>974</v>
      </c>
      <c r="D27" s="67" t="n">
        <v>4</v>
      </c>
      <c r="E27" s="68" t="n">
        <v>4</v>
      </c>
      <c r="F27" s="71" t="n">
        <v>550</v>
      </c>
      <c r="G27" s="136" t="s">
        <v>93</v>
      </c>
      <c r="H27" s="69" t="s">
        <v>916</v>
      </c>
      <c r="I27" s="70" t="n">
        <f aca="false">IF($H27="","",IFERROR(LOOKUP(VALUE(LEFT($H27&amp;"",FIND("-",$H27&amp;"-")-1)),$C$48:$C$53,$D$48:$D$53),""))</f>
        <v>0</v>
      </c>
      <c r="J27" s="71" t="n">
        <v>0</v>
      </c>
      <c r="K27" s="72" t="str">
        <f aca="false">IF($J27="","n/a",IF($I27=$J27,"ok","MISMATCH"))</f>
        <v>ok</v>
      </c>
      <c r="L27" s="144" t="n">
        <v>12500</v>
      </c>
      <c r="M27" s="145" t="s">
        <v>955</v>
      </c>
      <c r="O27" s="38" t="s">
        <v>127</v>
      </c>
    </row>
    <row r="28" customFormat="false" ht="15" hidden="false" customHeight="true" outlineLevel="0" collapsed="false">
      <c r="B28" s="121" t="s">
        <v>195</v>
      </c>
      <c r="C28" s="66" t="s">
        <v>975</v>
      </c>
      <c r="D28" s="14"/>
      <c r="E28" s="68" t="s">
        <v>93</v>
      </c>
      <c r="F28" s="71"/>
      <c r="G28" s="102" t="s">
        <v>560</v>
      </c>
      <c r="H28" s="69" t="s">
        <v>916</v>
      </c>
      <c r="I28" s="70" t="n">
        <f aca="false">IF($H28="","",IFERROR(LOOKUP(VALUE(LEFT($H28&amp;"",FIND("-",$H28&amp;"-")-1)),$C$48:$C$53,$D$48:$D$53),""))</f>
        <v>0</v>
      </c>
      <c r="J28" s="71"/>
      <c r="K28" s="72" t="str">
        <f aca="false">IF($J28="","n/a",IF($I28=$J28,"ok","MISMATCH"))</f>
        <v>n/a</v>
      </c>
      <c r="L28" s="144" t="n">
        <v>12500</v>
      </c>
      <c r="M28" s="74" t="s">
        <v>958</v>
      </c>
      <c r="O28" s="38" t="s">
        <v>195</v>
      </c>
    </row>
    <row r="29" customFormat="false" ht="15" hidden="false" customHeight="true" outlineLevel="0" collapsed="false">
      <c r="B29" s="121" t="s">
        <v>976</v>
      </c>
      <c r="C29" s="66" t="s">
        <v>977</v>
      </c>
      <c r="D29" s="14"/>
      <c r="E29" s="68" t="s">
        <v>93</v>
      </c>
      <c r="F29" s="71"/>
      <c r="G29" s="102" t="s">
        <v>560</v>
      </c>
      <c r="H29" s="69" t="s">
        <v>916</v>
      </c>
      <c r="I29" s="70" t="n">
        <f aca="false">IF($H29="","",IFERROR(LOOKUP(VALUE(LEFT($H29&amp;"",FIND("-",$H29&amp;"-")-1)),$C$48:$C$53,$D$48:$D$53),""))</f>
        <v>0</v>
      </c>
      <c r="J29" s="71"/>
      <c r="K29" s="72" t="str">
        <f aca="false">IF($J29="","n/a",IF($I29=$J29,"ok","MISMATCH"))</f>
        <v>n/a</v>
      </c>
      <c r="L29" s="144" t="n">
        <v>12500</v>
      </c>
      <c r="M29" s="74" t="s">
        <v>958</v>
      </c>
      <c r="O29" s="38" t="s">
        <v>976</v>
      </c>
    </row>
    <row r="30" customFormat="false" ht="15" hidden="false" customHeight="true" outlineLevel="0" collapsed="false">
      <c r="B30" s="121" t="s">
        <v>324</v>
      </c>
      <c r="C30" s="66" t="s">
        <v>978</v>
      </c>
      <c r="D30" s="14"/>
      <c r="E30" s="68" t="s">
        <v>93</v>
      </c>
      <c r="F30" s="71"/>
      <c r="G30" s="102" t="s">
        <v>560</v>
      </c>
      <c r="H30" s="69" t="s">
        <v>916</v>
      </c>
      <c r="I30" s="70" t="n">
        <f aca="false">IF($H30="","",IFERROR(LOOKUP(VALUE(LEFT($H30&amp;"",FIND("-",$H30&amp;"-")-1)),$C$48:$C$53,$D$48:$D$53),""))</f>
        <v>0</v>
      </c>
      <c r="J30" s="71"/>
      <c r="K30" s="72" t="str">
        <f aca="false">IF($J30="","n/a",IF($I30=$J30,"ok","MISMATCH"))</f>
        <v>n/a</v>
      </c>
      <c r="L30" s="144" t="n">
        <v>12500</v>
      </c>
      <c r="M30" s="74" t="s">
        <v>958</v>
      </c>
      <c r="O30" s="38" t="s">
        <v>324</v>
      </c>
    </row>
    <row r="31" customFormat="false" ht="15" hidden="false" customHeight="true" outlineLevel="0" collapsed="false">
      <c r="B31" s="121" t="s">
        <v>979</v>
      </c>
      <c r="C31" s="66" t="s">
        <v>980</v>
      </c>
      <c r="D31" s="14"/>
      <c r="E31" s="68" t="s">
        <v>93</v>
      </c>
      <c r="F31" s="71"/>
      <c r="G31" s="102" t="s">
        <v>560</v>
      </c>
      <c r="H31" s="69" t="s">
        <v>916</v>
      </c>
      <c r="I31" s="70" t="n">
        <f aca="false">IF($H31="","",IFERROR(LOOKUP(VALUE(LEFT($H31&amp;"",FIND("-",$H31&amp;"-")-1)),$C$48:$C$53,$D$48:$D$53),""))</f>
        <v>0</v>
      </c>
      <c r="J31" s="71"/>
      <c r="K31" s="72" t="str">
        <f aca="false">IF($J31="","n/a",IF($I31=$J31,"ok","MISMATCH"))</f>
        <v>n/a</v>
      </c>
      <c r="L31" s="144" t="n">
        <v>12500</v>
      </c>
      <c r="M31" s="74" t="s">
        <v>958</v>
      </c>
      <c r="O31" s="38" t="s">
        <v>979</v>
      </c>
    </row>
    <row r="32" customFormat="false" ht="15" hidden="false" customHeight="true" outlineLevel="0" collapsed="false">
      <c r="B32" s="121" t="s">
        <v>500</v>
      </c>
      <c r="C32" s="66" t="s">
        <v>981</v>
      </c>
      <c r="D32" s="14"/>
      <c r="E32" s="68" t="s">
        <v>93</v>
      </c>
      <c r="F32" s="71"/>
      <c r="G32" s="102" t="s">
        <v>560</v>
      </c>
      <c r="H32" s="69" t="s">
        <v>916</v>
      </c>
      <c r="I32" s="70" t="n">
        <f aca="false">IF($H32="","",IFERROR(LOOKUP(VALUE(LEFT($H32&amp;"",FIND("-",$H32&amp;"-")-1)),$C$48:$C$53,$D$48:$D$53),""))</f>
        <v>0</v>
      </c>
      <c r="J32" s="71"/>
      <c r="K32" s="72" t="str">
        <f aca="false">IF($J32="","n/a",IF($I32=$J32,"ok","MISMATCH"))</f>
        <v>n/a</v>
      </c>
      <c r="L32" s="144" t="n">
        <v>12500</v>
      </c>
      <c r="M32" s="74" t="s">
        <v>958</v>
      </c>
      <c r="O32" s="76" t="s">
        <v>138</v>
      </c>
    </row>
    <row r="33" customFormat="false" ht="15" hidden="false" customHeight="true" outlineLevel="0" collapsed="false">
      <c r="B33" s="121" t="s">
        <v>152</v>
      </c>
      <c r="C33" s="66" t="s">
        <v>982</v>
      </c>
      <c r="D33" s="14"/>
      <c r="E33" s="68" t="s">
        <v>93</v>
      </c>
      <c r="F33" s="71"/>
      <c r="G33" s="102" t="s">
        <v>560</v>
      </c>
      <c r="H33" s="69" t="s">
        <v>916</v>
      </c>
      <c r="I33" s="70" t="n">
        <f aca="false">IF($H33="","",IFERROR(LOOKUP(VALUE(LEFT($H33&amp;"",FIND("-",$H33&amp;"-")-1)),$C$48:$C$53,$D$48:$D$53),""))</f>
        <v>0</v>
      </c>
      <c r="J33" s="71" t="n">
        <v>0</v>
      </c>
      <c r="K33" s="72" t="str">
        <f aca="false">IF($J33="","n/a",IF($I33=$J33,"ok","MISMATCH"))</f>
        <v>ok</v>
      </c>
      <c r="L33" s="144" t="n">
        <v>12500</v>
      </c>
      <c r="M33" s="74" t="s">
        <v>958</v>
      </c>
      <c r="O33" s="38" t="s">
        <v>152</v>
      </c>
    </row>
    <row r="34" customFormat="false" ht="15" hidden="false" customHeight="true" outlineLevel="0" collapsed="false">
      <c r="B34" s="121" t="s">
        <v>145</v>
      </c>
      <c r="C34" s="66" t="s">
        <v>983</v>
      </c>
      <c r="D34" s="14"/>
      <c r="E34" s="68" t="s">
        <v>93</v>
      </c>
      <c r="F34" s="71"/>
      <c r="G34" s="102" t="s">
        <v>560</v>
      </c>
      <c r="H34" s="69" t="s">
        <v>916</v>
      </c>
      <c r="I34" s="70" t="n">
        <f aca="false">IF($H34="","",IFERROR(LOOKUP(VALUE(LEFT($H34&amp;"",FIND("-",$H34&amp;"-")-1)),$C$48:$C$53,$D$48:$D$53),""))</f>
        <v>0</v>
      </c>
      <c r="J34" s="71" t="n">
        <v>0</v>
      </c>
      <c r="K34" s="72" t="str">
        <f aca="false">IF($J34="","n/a",IF($I34=$J34,"ok","MISMATCH"))</f>
        <v>ok</v>
      </c>
      <c r="L34" s="144" t="n">
        <v>12500</v>
      </c>
      <c r="M34" s="74" t="s">
        <v>958</v>
      </c>
      <c r="O34" s="38" t="s">
        <v>145</v>
      </c>
    </row>
    <row r="35" customFormat="false" ht="15" hidden="false" customHeight="true" outlineLevel="0" collapsed="false">
      <c r="B35" s="121" t="s">
        <v>239</v>
      </c>
      <c r="C35" s="66" t="s">
        <v>984</v>
      </c>
      <c r="D35" s="14"/>
      <c r="E35" s="68" t="s">
        <v>93</v>
      </c>
      <c r="F35" s="71"/>
      <c r="G35" s="102" t="s">
        <v>560</v>
      </c>
      <c r="H35" s="69" t="s">
        <v>928</v>
      </c>
      <c r="I35" s="70" t="n">
        <f aca="false">IF($H35="","",IFERROR(LOOKUP(VALUE(LEFT($H35&amp;"",FIND("-",$H35&amp;"-")-1)),$C$48:$C$53,$D$48:$D$53),""))</f>
        <v>0</v>
      </c>
      <c r="J35" s="71"/>
      <c r="K35" s="72" t="str">
        <f aca="false">IF($J35="","n/a",IF($I35=$J35,"ok","MISMATCH"))</f>
        <v>n/a</v>
      </c>
      <c r="L35" s="144" t="n">
        <v>7500</v>
      </c>
      <c r="M35" s="74" t="s">
        <v>958</v>
      </c>
      <c r="O35" s="38" t="s">
        <v>239</v>
      </c>
    </row>
    <row r="36" customFormat="false" ht="15" hidden="false" customHeight="true" outlineLevel="0" collapsed="false">
      <c r="B36" s="121" t="s">
        <v>976</v>
      </c>
      <c r="C36" s="66" t="s">
        <v>985</v>
      </c>
      <c r="D36" s="14"/>
      <c r="E36" s="68" t="s">
        <v>93</v>
      </c>
      <c r="F36" s="71"/>
      <c r="G36" s="102" t="s">
        <v>560</v>
      </c>
      <c r="H36" s="69" t="s">
        <v>928</v>
      </c>
      <c r="I36" s="70" t="n">
        <f aca="false">IF($H36="","",IFERROR(LOOKUP(VALUE(LEFT($H36&amp;"",FIND("-",$H36&amp;"-")-1)),$C$48:$C$53,$D$48:$D$53),""))</f>
        <v>0</v>
      </c>
      <c r="J36" s="71"/>
      <c r="K36" s="72" t="str">
        <f aca="false">IF($J36="","n/a",IF($I36=$J36,"ok","MISMATCH"))</f>
        <v>n/a</v>
      </c>
      <c r="L36" s="144" t="n">
        <v>7500</v>
      </c>
      <c r="M36" s="74" t="s">
        <v>958</v>
      </c>
      <c r="O36" s="38" t="s">
        <v>976</v>
      </c>
    </row>
    <row r="37" customFormat="false" ht="15" hidden="false" customHeight="true" outlineLevel="0" collapsed="false">
      <c r="B37" s="121" t="s">
        <v>245</v>
      </c>
      <c r="C37" s="66" t="s">
        <v>986</v>
      </c>
      <c r="D37" s="67" t="n">
        <v>3</v>
      </c>
      <c r="E37" s="68" t="n">
        <v>3</v>
      </c>
      <c r="F37" s="71" t="n">
        <v>600</v>
      </c>
      <c r="G37" s="136" t="s">
        <v>93</v>
      </c>
      <c r="H37" s="69" t="s">
        <v>928</v>
      </c>
      <c r="I37" s="70" t="n">
        <f aca="false">IF($H37="","",IFERROR(LOOKUP(VALUE(LEFT($H37&amp;"",FIND("-",$H37&amp;"-")-1)),$C$48:$C$53,$D$48:$D$53),""))</f>
        <v>0</v>
      </c>
      <c r="J37" s="71"/>
      <c r="K37" s="72" t="str">
        <f aca="false">IF($J37="","n/a",IF($I37=$J37,"ok","MISMATCH"))</f>
        <v>n/a</v>
      </c>
      <c r="L37" s="144" t="n">
        <v>7500</v>
      </c>
      <c r="M37" s="145" t="s">
        <v>955</v>
      </c>
      <c r="O37" s="38" t="s">
        <v>245</v>
      </c>
    </row>
    <row r="38" customFormat="false" ht="15" hidden="false" customHeight="true" outlineLevel="0" collapsed="false">
      <c r="B38" s="121" t="s">
        <v>191</v>
      </c>
      <c r="C38" s="66" t="s">
        <v>987</v>
      </c>
      <c r="D38" s="14"/>
      <c r="E38" s="68" t="s">
        <v>93</v>
      </c>
      <c r="F38" s="71"/>
      <c r="G38" s="102" t="s">
        <v>560</v>
      </c>
      <c r="H38" s="69" t="s">
        <v>928</v>
      </c>
      <c r="I38" s="70" t="n">
        <f aca="false">IF($H38="","",IFERROR(LOOKUP(VALUE(LEFT($H38&amp;"",FIND("-",$H38&amp;"-")-1)),$C$48:$C$53,$D$48:$D$53),""))</f>
        <v>0</v>
      </c>
      <c r="J38" s="71" t="n">
        <v>0</v>
      </c>
      <c r="K38" s="72" t="str">
        <f aca="false">IF($J38="","n/a",IF($I38=$J38,"ok","MISMATCH"))</f>
        <v>ok</v>
      </c>
      <c r="L38" s="144" t="n">
        <v>7500</v>
      </c>
      <c r="M38" s="74" t="s">
        <v>958</v>
      </c>
      <c r="O38" s="38" t="s">
        <v>191</v>
      </c>
    </row>
    <row r="39" customFormat="false" ht="15" hidden="false" customHeight="true" outlineLevel="0" collapsed="false">
      <c r="B39" s="121" t="s">
        <v>195</v>
      </c>
      <c r="C39" s="66" t="s">
        <v>988</v>
      </c>
      <c r="D39" s="67" t="n">
        <v>13</v>
      </c>
      <c r="E39" s="68" t="n">
        <v>26</v>
      </c>
      <c r="F39" s="71" t="n">
        <v>150</v>
      </c>
      <c r="G39" s="136" t="s">
        <v>93</v>
      </c>
      <c r="H39" s="69" t="s">
        <v>928</v>
      </c>
      <c r="I39" s="70" t="n">
        <f aca="false">IF($H39="","",IFERROR(LOOKUP(VALUE(LEFT($H39&amp;"",FIND("-",$H39&amp;"-")-1)),$C$48:$C$53,$D$48:$D$53),""))</f>
        <v>0</v>
      </c>
      <c r="J39" s="71"/>
      <c r="K39" s="72" t="str">
        <f aca="false">IF($J39="","n/a",IF($I39=$J39,"ok","MISMATCH"))</f>
        <v>n/a</v>
      </c>
      <c r="L39" s="144" t="n">
        <v>7500</v>
      </c>
      <c r="M39" s="145" t="s">
        <v>955</v>
      </c>
      <c r="O39" s="38" t="s">
        <v>195</v>
      </c>
    </row>
    <row r="40" customFormat="false" ht="15" hidden="false" customHeight="true" outlineLevel="0" collapsed="false">
      <c r="B40" s="121" t="s">
        <v>152</v>
      </c>
      <c r="C40" s="66" t="s">
        <v>989</v>
      </c>
      <c r="D40" s="14"/>
      <c r="E40" s="68" t="s">
        <v>93</v>
      </c>
      <c r="F40" s="71"/>
      <c r="G40" s="102" t="s">
        <v>560</v>
      </c>
      <c r="H40" s="69" t="s">
        <v>928</v>
      </c>
      <c r="I40" s="70" t="n">
        <f aca="false">IF($H40="","",IFERROR(LOOKUP(VALUE(LEFT($H40&amp;"",FIND("-",$H40&amp;"-")-1)),$C$48:$C$53,$D$48:$D$53),""))</f>
        <v>0</v>
      </c>
      <c r="J40" s="71"/>
      <c r="K40" s="72" t="str">
        <f aca="false">IF($J40="","n/a",IF($I40=$J40,"ok","MISMATCH"))</f>
        <v>n/a</v>
      </c>
      <c r="L40" s="144" t="n">
        <v>7500</v>
      </c>
      <c r="M40" s="74" t="s">
        <v>958</v>
      </c>
      <c r="O40" s="38" t="s">
        <v>152</v>
      </c>
    </row>
    <row r="41" customFormat="false" ht="15" hidden="false" customHeight="true" outlineLevel="0" collapsed="false">
      <c r="B41" s="121" t="s">
        <v>340</v>
      </c>
      <c r="C41" s="66" t="s">
        <v>990</v>
      </c>
      <c r="D41" s="67" t="n">
        <v>9</v>
      </c>
      <c r="E41" s="68" t="n">
        <v>14</v>
      </c>
      <c r="F41" s="71" t="n">
        <v>250</v>
      </c>
      <c r="G41" s="136" t="s">
        <v>93</v>
      </c>
      <c r="H41" s="69" t="s">
        <v>928</v>
      </c>
      <c r="I41" s="70" t="n">
        <f aca="false">IF($H41="","",IFERROR(LOOKUP(VALUE(LEFT($H41&amp;"",FIND("-",$H41&amp;"-")-1)),$C$48:$C$53,$D$48:$D$53),""))</f>
        <v>0</v>
      </c>
      <c r="J41" s="71"/>
      <c r="K41" s="72" t="str">
        <f aca="false">IF($J41="","n/a",IF($I41=$J41,"ok","MISMATCH"))</f>
        <v>n/a</v>
      </c>
      <c r="L41" s="144" t="n">
        <v>7500</v>
      </c>
      <c r="M41" s="145" t="s">
        <v>955</v>
      </c>
      <c r="O41" s="38" t="s">
        <v>340</v>
      </c>
    </row>
    <row r="42" customFormat="false" ht="15" hidden="false" customHeight="true" outlineLevel="0" collapsed="false">
      <c r="B42" s="121" t="s">
        <v>114</v>
      </c>
      <c r="C42" s="66" t="s">
        <v>991</v>
      </c>
      <c r="D42" s="14"/>
      <c r="E42" s="68" t="s">
        <v>93</v>
      </c>
      <c r="F42" s="71"/>
      <c r="G42" s="102" t="s">
        <v>560</v>
      </c>
      <c r="H42" s="69" t="s">
        <v>928</v>
      </c>
      <c r="I42" s="70" t="n">
        <f aca="false">IF($H42="","",IFERROR(LOOKUP(VALUE(LEFT($H42&amp;"",FIND("-",$H42&amp;"-")-1)),$C$48:$C$53,$D$48:$D$53),""))</f>
        <v>0</v>
      </c>
      <c r="J42" s="71"/>
      <c r="K42" s="72" t="str">
        <f aca="false">IF($J42="","n/a",IF($I42=$J42,"ok","MISMATCH"))</f>
        <v>n/a</v>
      </c>
      <c r="L42" s="144" t="n">
        <v>7500</v>
      </c>
      <c r="M42" s="74" t="s">
        <v>958</v>
      </c>
      <c r="O42" s="38" t="s">
        <v>114</v>
      </c>
    </row>
    <row r="44" customFormat="false" ht="15" hidden="false" customHeight="true" outlineLevel="0" collapsed="false">
      <c r="B44" s="11" t="s">
        <v>459</v>
      </c>
      <c r="I44" s="77" t="n">
        <f aca="false">SUM(I11:I42)</f>
        <v>3350</v>
      </c>
    </row>
    <row r="45" customFormat="false" ht="15" hidden="false" customHeight="true" outlineLevel="0" collapsed="false">
      <c r="B45" s="18" t="s">
        <v>940</v>
      </c>
    </row>
    <row r="46" customFormat="false" ht="15" hidden="false" customHeight="true" outlineLevel="0" collapsed="false">
      <c r="B46" s="11" t="s">
        <v>461</v>
      </c>
    </row>
    <row r="47" customFormat="false" ht="15" hidden="false" customHeight="true" outlineLevel="0" collapsed="false">
      <c r="B47" s="4" t="s">
        <v>463</v>
      </c>
      <c r="C47" s="4" t="s">
        <v>464</v>
      </c>
      <c r="D47" s="4" t="s">
        <v>465</v>
      </c>
    </row>
    <row r="48" customFormat="false" ht="15" hidden="false" customHeight="true" outlineLevel="0" collapsed="false">
      <c r="C48" s="13" t="n">
        <v>1</v>
      </c>
      <c r="D48" s="79" t="n">
        <v>1000</v>
      </c>
      <c r="E48" s="80" t="s">
        <v>466</v>
      </c>
    </row>
    <row r="49" customFormat="false" ht="15" hidden="false" customHeight="true" outlineLevel="0" collapsed="false">
      <c r="C49" s="13" t="n">
        <v>2</v>
      </c>
      <c r="D49" s="79" t="n">
        <v>750</v>
      </c>
      <c r="E49" s="80" t="s">
        <v>467</v>
      </c>
    </row>
    <row r="50" customFormat="false" ht="15" hidden="false" customHeight="true" outlineLevel="0" collapsed="false">
      <c r="C50" s="13" t="n">
        <v>3</v>
      </c>
      <c r="D50" s="79" t="n">
        <v>500</v>
      </c>
      <c r="E50" s="80" t="s">
        <v>468</v>
      </c>
    </row>
    <row r="51" customFormat="false" ht="15" hidden="false" customHeight="true" outlineLevel="0" collapsed="false">
      <c r="C51" s="13" t="n">
        <v>4</v>
      </c>
      <c r="D51" s="79" t="n">
        <v>300</v>
      </c>
      <c r="E51" s="80" t="s">
        <v>469</v>
      </c>
    </row>
    <row r="52" customFormat="false" ht="15" hidden="false" customHeight="true" outlineLevel="0" collapsed="false">
      <c r="C52" s="13" t="n">
        <v>5</v>
      </c>
      <c r="D52" s="79" t="n">
        <v>200</v>
      </c>
      <c r="E52" s="80" t="s">
        <v>537</v>
      </c>
    </row>
    <row r="53" customFormat="false" ht="15" hidden="false" customHeight="true" outlineLevel="0" collapsed="false">
      <c r="C53" s="13" t="n">
        <v>9</v>
      </c>
      <c r="D53" s="79" t="n">
        <v>0</v>
      </c>
      <c r="E53" s="80" t="s">
        <v>832</v>
      </c>
    </row>
    <row r="56" customFormat="false" ht="15" hidden="false" customHeight="true" outlineLevel="0" collapsed="false">
      <c r="B56" s="11" t="s">
        <v>992</v>
      </c>
    </row>
    <row r="57" customFormat="false" ht="15" hidden="false" customHeight="true" outlineLevel="0" collapsed="false">
      <c r="B57" s="3" t="s">
        <v>993</v>
      </c>
      <c r="C57" s="3"/>
      <c r="D57" s="3"/>
      <c r="E57" s="3"/>
      <c r="F57" s="3"/>
      <c r="G57" s="3"/>
      <c r="H57" s="3"/>
      <c r="I57" s="3"/>
      <c r="J57" s="3"/>
      <c r="K57" s="3"/>
      <c r="L57" s="3"/>
      <c r="M57" s="3"/>
    </row>
    <row r="58" customFormat="false" ht="15" hidden="false" customHeight="true" outlineLevel="0" collapsed="false">
      <c r="B58" s="3"/>
      <c r="C58" s="3"/>
      <c r="D58" s="3"/>
      <c r="E58" s="3"/>
      <c r="F58" s="3"/>
      <c r="G58" s="3"/>
      <c r="H58" s="3"/>
      <c r="I58" s="3"/>
      <c r="J58" s="3"/>
      <c r="K58" s="3"/>
      <c r="L58" s="3"/>
      <c r="M58" s="3"/>
    </row>
    <row r="59" customFormat="false" ht="15" hidden="false" customHeight="true" outlineLevel="0" collapsed="false">
      <c r="B59" s="3"/>
      <c r="C59" s="3"/>
      <c r="D59" s="3"/>
      <c r="E59" s="3"/>
      <c r="F59" s="3"/>
      <c r="G59" s="3"/>
      <c r="H59" s="3"/>
      <c r="I59" s="3"/>
      <c r="J59" s="3"/>
      <c r="K59" s="3"/>
      <c r="L59" s="3"/>
      <c r="M59" s="3"/>
    </row>
    <row r="60" customFormat="false" ht="15" hidden="false" customHeight="true" outlineLevel="0" collapsed="false">
      <c r="B60" s="3"/>
      <c r="C60" s="3"/>
      <c r="D60" s="3"/>
      <c r="E60" s="3"/>
      <c r="F60" s="3"/>
      <c r="G60" s="3"/>
      <c r="H60" s="3"/>
      <c r="I60" s="3"/>
      <c r="J60" s="3"/>
      <c r="K60" s="3"/>
      <c r="L60" s="3"/>
      <c r="M60" s="3"/>
    </row>
    <row r="61" customFormat="false" ht="15" hidden="false" customHeight="true" outlineLevel="0" collapsed="false">
      <c r="B61" s="3"/>
      <c r="C61" s="3"/>
      <c r="D61" s="3"/>
      <c r="E61" s="3"/>
      <c r="F61" s="3"/>
      <c r="G61" s="3"/>
      <c r="H61" s="3"/>
      <c r="I61" s="3"/>
      <c r="J61" s="3"/>
      <c r="K61" s="3"/>
      <c r="L61" s="3"/>
      <c r="M61" s="3"/>
    </row>
    <row r="62" customFormat="false" ht="15" hidden="false" customHeight="true" outlineLevel="0" collapsed="false">
      <c r="B62" s="3"/>
      <c r="C62" s="3"/>
      <c r="D62" s="3"/>
      <c r="E62" s="3"/>
      <c r="F62" s="3"/>
      <c r="G62" s="3"/>
      <c r="H62" s="3"/>
      <c r="I62" s="3"/>
      <c r="J62" s="3"/>
      <c r="K62" s="3"/>
      <c r="L62" s="3"/>
      <c r="M62" s="3"/>
    </row>
    <row r="63" customFormat="false" ht="15" hidden="false" customHeight="true" outlineLevel="0" collapsed="false">
      <c r="B63" s="3"/>
      <c r="C63" s="3"/>
      <c r="D63" s="3"/>
      <c r="E63" s="3"/>
      <c r="F63" s="3"/>
      <c r="G63" s="3"/>
      <c r="H63" s="3"/>
      <c r="I63" s="3"/>
      <c r="J63" s="3"/>
      <c r="K63" s="3"/>
      <c r="L63" s="3"/>
      <c r="M63" s="3"/>
    </row>
    <row r="64" customFormat="false" ht="15" hidden="false" customHeight="true" outlineLevel="0" collapsed="false">
      <c r="B64" s="3"/>
      <c r="C64" s="3"/>
      <c r="D64" s="3"/>
      <c r="E64" s="3"/>
      <c r="F64" s="3"/>
      <c r="G64" s="3"/>
      <c r="H64" s="3"/>
      <c r="I64" s="3"/>
      <c r="J64" s="3"/>
      <c r="K64" s="3"/>
      <c r="L64" s="3"/>
      <c r="M64" s="3"/>
    </row>
    <row r="66" customFormat="false" ht="23.25" hidden="false" customHeight="true" outlineLevel="0" collapsed="false">
      <c r="B66" s="4" t="s">
        <v>682</v>
      </c>
      <c r="C66" s="4" t="s">
        <v>994</v>
      </c>
      <c r="D66" s="4" t="s">
        <v>760</v>
      </c>
      <c r="E66" s="4" t="s">
        <v>761</v>
      </c>
      <c r="F66" s="4" t="s">
        <v>762</v>
      </c>
      <c r="G66" s="4" t="s">
        <v>763</v>
      </c>
    </row>
    <row r="67" customFormat="false" ht="15" hidden="false" customHeight="true" outlineLevel="0" collapsed="false">
      <c r="B67" s="110" t="s">
        <v>558</v>
      </c>
      <c r="C67" s="13" t="n">
        <f aca="false">COUNTIF($G$11:$G$42,$B67)</f>
        <v>0</v>
      </c>
      <c r="D67" s="13" t="n">
        <f aca="false">14</f>
        <v>14</v>
      </c>
      <c r="E67" s="13" t="n">
        <f aca="false">D67+C67-1</f>
        <v>13</v>
      </c>
      <c r="F67" s="111" t="str">
        <f aca="false">IF(C67=0,"",(D67+E67)/2)</f>
        <v/>
      </c>
      <c r="G67" s="112" t="str">
        <f aca="false">IF(C67=0,"",(E67-D67+1)/SQRT(12))</f>
        <v/>
      </c>
    </row>
    <row r="68" customFormat="false" ht="15" hidden="false" customHeight="true" outlineLevel="0" collapsed="false">
      <c r="B68" s="113" t="s">
        <v>560</v>
      </c>
      <c r="C68" s="13" t="n">
        <f aca="false">COUNTIF($G$11:$G$42,$B68)</f>
        <v>19</v>
      </c>
      <c r="D68" s="13" t="n">
        <f aca="false">E67+1</f>
        <v>14</v>
      </c>
      <c r="E68" s="13" t="n">
        <f aca="false">D68+C68-1</f>
        <v>32</v>
      </c>
      <c r="F68" s="111" t="n">
        <f aca="false">IF(C68=0,"",(D68+E68)/2)</f>
        <v>23</v>
      </c>
      <c r="G68" s="112" t="n">
        <f aca="false">IF(C68=0,"",(E68-D68+1)/SQRT(12))</f>
        <v>5.48482755730145</v>
      </c>
    </row>
    <row r="69" customFormat="false" ht="15" hidden="false" customHeight="true" outlineLevel="0" collapsed="false">
      <c r="B69" s="114" t="s">
        <v>565</v>
      </c>
      <c r="C69" s="13" t="n">
        <f aca="false">COUNTIF($G$11:$G$42,$B69)</f>
        <v>0</v>
      </c>
      <c r="D69" s="13" t="n">
        <f aca="false">E68+1</f>
        <v>33</v>
      </c>
      <c r="E69" s="13" t="n">
        <f aca="false">D69+C69-1</f>
        <v>32</v>
      </c>
      <c r="F69" s="111" t="str">
        <f aca="false">IF(C69=0,"",(D69+E69)/2)</f>
        <v/>
      </c>
      <c r="G69" s="112" t="str">
        <f aca="false">IF(C69=0,"",(E69-D69+1)/SQRT(12))</f>
        <v/>
      </c>
    </row>
    <row r="71" customFormat="false" ht="15" hidden="false" customHeight="true" outlineLevel="0" collapsed="false">
      <c r="B71" s="18" t="s">
        <v>995</v>
      </c>
    </row>
  </sheetData>
  <sheetProtection sheet="true" formatCells="false" selectLockedCells="true" selectUnlockedCells="true"/>
  <mergeCells count="1">
    <mergeCell ref="B57:M64"/>
  </mergeCells>
  <dataValidations count="2">
    <dataValidation allowBlank="true" error="Pick a placement from the list." errorStyle="stop" errorTitle="Use the dropdown" operator="between" showDropDown="false" showErrorMessage="false" showInputMessage="false" sqref="H11:H42" type="list">
      <formula1>"1,2,3,4,5-8,9-12,13-16,17-24,25-32"</formula1>
      <formula2>0</formula2>
    </dataValidation>
    <dataValidation allowBlank="true" error="High, Medium or Low. Leave blank for CPT-ranked players." errorStyle="stop" errorTitle="Use the dropdown" operator="between" showDropDown="false" showErrorMessage="false" showInputMessage="false" sqref="G12 G14 G16:G17 G19 G24:G25 G28:G36 G38 G40 G42"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0" topLeftCell="D11" activePane="bottomRight" state="frozen"/>
      <selection pane="topLeft" activeCell="A1" activeCellId="0" sqref="A1"/>
      <selection pane="topRight" activeCell="D1" activeCellId="0" sqref="D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18"/>
    <col collapsed="false" customWidth="true" hidden="false" outlineLevel="0" max="4" min="4" style="1" width="8"/>
    <col collapsed="false" customWidth="true" hidden="false" outlineLevel="0" max="5" min="5" style="1" width="11"/>
    <col collapsed="false" customWidth="true" hidden="false" outlineLevel="0" max="6" min="6" style="1" width="12"/>
    <col collapsed="false" customWidth="true" hidden="false" outlineLevel="0" max="7" min="7" style="1" width="15"/>
    <col collapsed="false" customWidth="true" hidden="false" outlineLevel="0" max="8" min="8" style="1" width="10"/>
    <col collapsed="false" customWidth="true" hidden="false" outlineLevel="0" max="9" min="9" style="1" width="12"/>
    <col collapsed="false" customWidth="true" hidden="false" outlineLevel="0" max="10" min="10" style="1" width="30"/>
  </cols>
  <sheetData>
    <row r="2" customFormat="false" ht="18" hidden="false" customHeight="true" outlineLevel="0" collapsed="false">
      <c r="B2" s="2" t="s">
        <v>996</v>
      </c>
    </row>
    <row r="3" customFormat="false" ht="15" hidden="false" customHeight="true" outlineLevel="0" collapsed="false">
      <c r="B3" s="93" t="s">
        <v>997</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884</v>
      </c>
      <c r="D6" s="28" t="s">
        <v>771</v>
      </c>
      <c r="F6" s="28" t="s">
        <v>998</v>
      </c>
      <c r="H6" s="28" t="s">
        <v>590</v>
      </c>
      <c r="J6" s="28" t="s">
        <v>999</v>
      </c>
      <c r="L6" s="28" t="s">
        <v>887</v>
      </c>
    </row>
    <row r="8" customFormat="false" ht="15" hidden="false" customHeight="true" outlineLevel="0" collapsed="false">
      <c r="B8" s="11" t="s">
        <v>416</v>
      </c>
    </row>
    <row r="9" customFormat="false" ht="15" hidden="false" customHeight="true" outlineLevel="0" collapsed="false">
      <c r="B9" s="18" t="s">
        <v>1000</v>
      </c>
    </row>
    <row r="10" customFormat="false" ht="34.5" hidden="false" customHeight="true" outlineLevel="0" collapsed="false">
      <c r="B10" s="4" t="s">
        <v>418</v>
      </c>
      <c r="C10" s="4" t="s">
        <v>488</v>
      </c>
      <c r="D10" s="4" t="s">
        <v>541</v>
      </c>
      <c r="E10" s="4" t="s">
        <v>421</v>
      </c>
      <c r="F10" s="4" t="s">
        <v>422</v>
      </c>
      <c r="G10" s="4" t="s">
        <v>423</v>
      </c>
      <c r="H10" s="4" t="s">
        <v>424</v>
      </c>
      <c r="I10" s="4" t="s">
        <v>425</v>
      </c>
      <c r="J10" s="4" t="s">
        <v>41</v>
      </c>
      <c r="L10" s="4" t="s">
        <v>426</v>
      </c>
    </row>
    <row r="11" customFormat="false" ht="15" hidden="false" customHeight="true" outlineLevel="0" collapsed="false">
      <c r="B11" s="117" t="s">
        <v>165</v>
      </c>
      <c r="C11" s="29" t="s">
        <v>1001</v>
      </c>
      <c r="D11" s="14"/>
      <c r="E11" s="32" t="s">
        <v>427</v>
      </c>
      <c r="F11" s="33" t="n">
        <f aca="false">IF($E11="","",IFERROR(LOOKUP(VALUE(LEFT($E11&amp;"",FIND("-",$E11&amp;"-")-1)),$C$48:$C$53,$D$48:$D$53),""))</f>
        <v>1000</v>
      </c>
      <c r="G11" s="34" t="n">
        <v>1000</v>
      </c>
      <c r="H11" s="35" t="str">
        <f aca="false">IF($G11="","n/a",IF($F11=$G11,"ok","MISMATCH"))</f>
        <v>ok</v>
      </c>
      <c r="I11" s="137" t="n">
        <v>250000</v>
      </c>
      <c r="J11" s="100"/>
      <c r="L11" s="38" t="s">
        <v>165</v>
      </c>
    </row>
    <row r="12" customFormat="false" ht="15" hidden="false" customHeight="true" outlineLevel="0" collapsed="false">
      <c r="B12" s="123" t="s">
        <v>123</v>
      </c>
      <c r="C12" s="39" t="s">
        <v>1002</v>
      </c>
      <c r="D12" s="14"/>
      <c r="E12" s="42" t="s">
        <v>428</v>
      </c>
      <c r="F12" s="43" t="n">
        <f aca="false">IF($E12="","",IFERROR(LOOKUP(VALUE(LEFT($E12&amp;"",FIND("-",$E12&amp;"-")-1)),$C$48:$C$53,$D$48:$D$53),""))</f>
        <v>750</v>
      </c>
      <c r="G12" s="44" t="n">
        <v>750</v>
      </c>
      <c r="H12" s="45" t="str">
        <f aca="false">IF($G12="","n/a",IF($F12=$G12,"ok","MISMATCH"))</f>
        <v>ok</v>
      </c>
      <c r="I12" s="139" t="n">
        <v>130000</v>
      </c>
      <c r="J12" s="103"/>
      <c r="L12" s="38" t="s">
        <v>123</v>
      </c>
    </row>
    <row r="13" customFormat="false" ht="15" hidden="false" customHeight="true" outlineLevel="0" collapsed="false">
      <c r="B13" s="119" t="s">
        <v>386</v>
      </c>
      <c r="C13" s="48" t="s">
        <v>1003</v>
      </c>
      <c r="D13" s="14"/>
      <c r="E13" s="51" t="s">
        <v>430</v>
      </c>
      <c r="F13" s="52" t="n">
        <f aca="false">IF($E13="","",IFERROR(LOOKUP(VALUE(LEFT($E13&amp;"",FIND("-",$E13&amp;"-")-1)),$C$48:$C$53,$D$48:$D$53),""))</f>
        <v>500</v>
      </c>
      <c r="G13" s="53" t="n">
        <v>500</v>
      </c>
      <c r="H13" s="54" t="str">
        <f aca="false">IF($G13="","n/a",IF($F13=$G13,"ok","MISMATCH"))</f>
        <v>ok</v>
      </c>
      <c r="I13" s="140" t="n">
        <v>70000</v>
      </c>
      <c r="J13" s="105"/>
      <c r="L13" s="38" t="s">
        <v>386</v>
      </c>
    </row>
    <row r="14" customFormat="false" ht="15" hidden="false" customHeight="true" outlineLevel="0" collapsed="false">
      <c r="B14" s="120" t="s">
        <v>195</v>
      </c>
      <c r="C14" s="57" t="s">
        <v>1004</v>
      </c>
      <c r="D14" s="14"/>
      <c r="E14" s="60" t="s">
        <v>431</v>
      </c>
      <c r="F14" s="61" t="n">
        <f aca="false">IF($E14="","",IFERROR(LOOKUP(VALUE(LEFT($E14&amp;"",FIND("-",$E14&amp;"-")-1)),$C$48:$C$53,$D$48:$D$53),""))</f>
        <v>300</v>
      </c>
      <c r="G14" s="62" t="n">
        <v>300</v>
      </c>
      <c r="H14" s="63" t="str">
        <f aca="false">IF($G14="","n/a",IF($F14=$G14,"ok","MISMATCH"))</f>
        <v>ok</v>
      </c>
      <c r="I14" s="142" t="n">
        <v>50000</v>
      </c>
      <c r="J14" s="107"/>
      <c r="L14" s="38" t="s">
        <v>195</v>
      </c>
    </row>
    <row r="15" customFormat="false" ht="15" hidden="false" customHeight="true" outlineLevel="0" collapsed="false">
      <c r="B15" s="120" t="s">
        <v>173</v>
      </c>
      <c r="C15" s="57" t="s">
        <v>1005</v>
      </c>
      <c r="D15" s="14"/>
      <c r="E15" s="60" t="s">
        <v>432</v>
      </c>
      <c r="F15" s="61" t="n">
        <f aca="false">IF($E15="","",IFERROR(LOOKUP(VALUE(LEFT($E15&amp;"",FIND("-",$E15&amp;"-")-1)),$C$48:$C$53,$D$48:$D$53),""))</f>
        <v>200</v>
      </c>
      <c r="G15" s="62" t="n">
        <v>200</v>
      </c>
      <c r="H15" s="63" t="str">
        <f aca="false">IF($G15="","n/a",IF($F15=$G15,"ok","MISMATCH"))</f>
        <v>ok</v>
      </c>
      <c r="I15" s="142" t="n">
        <v>37500</v>
      </c>
      <c r="J15" s="107"/>
      <c r="L15" s="38" t="s">
        <v>173</v>
      </c>
    </row>
    <row r="16" customFormat="false" ht="15" hidden="false" customHeight="true" outlineLevel="0" collapsed="false">
      <c r="B16" s="120" t="s">
        <v>150</v>
      </c>
      <c r="C16" s="57" t="s">
        <v>1006</v>
      </c>
      <c r="D16" s="14"/>
      <c r="E16" s="60" t="s">
        <v>432</v>
      </c>
      <c r="F16" s="61" t="n">
        <f aca="false">IF($E16="","",IFERROR(LOOKUP(VALUE(LEFT($E16&amp;"",FIND("-",$E16&amp;"-")-1)),$C$48:$C$53,$D$48:$D$53),""))</f>
        <v>200</v>
      </c>
      <c r="G16" s="62" t="n">
        <v>200</v>
      </c>
      <c r="H16" s="63" t="str">
        <f aca="false">IF($G16="","n/a",IF($F16=$G16,"ok","MISMATCH"))</f>
        <v>ok</v>
      </c>
      <c r="I16" s="142" t="n">
        <v>37500</v>
      </c>
      <c r="J16" s="107"/>
      <c r="L16" s="38" t="s">
        <v>150</v>
      </c>
    </row>
    <row r="17" customFormat="false" ht="15" hidden="false" customHeight="true" outlineLevel="0" collapsed="false">
      <c r="B17" s="120" t="s">
        <v>316</v>
      </c>
      <c r="C17" s="57" t="s">
        <v>1007</v>
      </c>
      <c r="D17" s="14"/>
      <c r="E17" s="60" t="s">
        <v>432</v>
      </c>
      <c r="F17" s="61" t="n">
        <f aca="false">IF($E17="","",IFERROR(LOOKUP(VALUE(LEFT($E17&amp;"",FIND("-",$E17&amp;"-")-1)),$C$48:$C$53,$D$48:$D$53),""))</f>
        <v>200</v>
      </c>
      <c r="G17" s="62" t="n">
        <v>200</v>
      </c>
      <c r="H17" s="63" t="str">
        <f aca="false">IF($G17="","n/a",IF($F17=$G17,"ok","MISMATCH"))</f>
        <v>ok</v>
      </c>
      <c r="I17" s="142" t="n">
        <v>37500</v>
      </c>
      <c r="J17" s="107"/>
      <c r="L17" s="38" t="s">
        <v>316</v>
      </c>
    </row>
    <row r="18" customFormat="false" ht="15" hidden="false" customHeight="true" outlineLevel="0" collapsed="false">
      <c r="B18" s="120" t="s">
        <v>119</v>
      </c>
      <c r="C18" s="57" t="s">
        <v>1008</v>
      </c>
      <c r="D18" s="14"/>
      <c r="E18" s="60" t="s">
        <v>432</v>
      </c>
      <c r="F18" s="61" t="n">
        <f aca="false">IF($E18="","",IFERROR(LOOKUP(VALUE(LEFT($E18&amp;"",FIND("-",$E18&amp;"-")-1)),$C$48:$C$53,$D$48:$D$53),""))</f>
        <v>200</v>
      </c>
      <c r="G18" s="62" t="n">
        <v>200</v>
      </c>
      <c r="H18" s="63" t="str">
        <f aca="false">IF($G18="","n/a",IF($F18=$G18,"ok","MISMATCH"))</f>
        <v>ok</v>
      </c>
      <c r="I18" s="142" t="n">
        <v>37500</v>
      </c>
      <c r="J18" s="107"/>
      <c r="L18" s="38" t="s">
        <v>119</v>
      </c>
    </row>
    <row r="19" customFormat="false" ht="15" hidden="false" customHeight="true" outlineLevel="0" collapsed="false">
      <c r="B19" s="121" t="s">
        <v>114</v>
      </c>
      <c r="C19" s="66" t="s">
        <v>1009</v>
      </c>
      <c r="D19" s="14"/>
      <c r="E19" s="69" t="s">
        <v>506</v>
      </c>
      <c r="F19" s="70" t="n">
        <f aca="false">IF($E19="","",IFERROR(LOOKUP(VALUE(LEFT($E19&amp;"",FIND("-",$E19&amp;"-")-1)),$C$48:$C$53,$D$48:$D$53),""))</f>
        <v>0</v>
      </c>
      <c r="G19" s="71" t="n">
        <v>0</v>
      </c>
      <c r="H19" s="72" t="str">
        <f aca="false">IF($G19="","n/a",IF($F19=$G19,"ok","MISMATCH"))</f>
        <v>ok</v>
      </c>
      <c r="I19" s="144" t="n">
        <v>27500</v>
      </c>
      <c r="J19" s="108"/>
      <c r="L19" s="38" t="s">
        <v>114</v>
      </c>
    </row>
    <row r="20" customFormat="false" ht="15" hidden="false" customHeight="true" outlineLevel="0" collapsed="false">
      <c r="B20" s="121" t="s">
        <v>500</v>
      </c>
      <c r="C20" s="66" t="s">
        <v>1010</v>
      </c>
      <c r="D20" s="14"/>
      <c r="E20" s="69" t="s">
        <v>506</v>
      </c>
      <c r="F20" s="70" t="n">
        <f aca="false">IF($E20="","",IFERROR(LOOKUP(VALUE(LEFT($E20&amp;"",FIND("-",$E20&amp;"-")-1)),$C$48:$C$53,$D$48:$D$53),""))</f>
        <v>0</v>
      </c>
      <c r="G20" s="71"/>
      <c r="H20" s="72" t="str">
        <f aca="false">IF($G20="","n/a",IF($F20=$G20,"ok","MISMATCH"))</f>
        <v>n/a</v>
      </c>
      <c r="I20" s="144" t="n">
        <v>27500</v>
      </c>
      <c r="J20" s="108"/>
      <c r="L20" s="76" t="s">
        <v>138</v>
      </c>
    </row>
    <row r="21" customFormat="false" ht="15" hidden="false" customHeight="true" outlineLevel="0" collapsed="false">
      <c r="B21" s="121" t="s">
        <v>114</v>
      </c>
      <c r="C21" s="66" t="s">
        <v>1011</v>
      </c>
      <c r="D21" s="14"/>
      <c r="E21" s="69" t="s">
        <v>506</v>
      </c>
      <c r="F21" s="70" t="n">
        <f aca="false">IF($E21="","",IFERROR(LOOKUP(VALUE(LEFT($E21&amp;"",FIND("-",$E21&amp;"-")-1)),$C$48:$C$53,$D$48:$D$53),""))</f>
        <v>0</v>
      </c>
      <c r="G21" s="71"/>
      <c r="H21" s="72" t="str">
        <f aca="false">IF($G21="","n/a",IF($F21=$G21,"ok","MISMATCH"))</f>
        <v>n/a</v>
      </c>
      <c r="I21" s="144" t="n">
        <v>27500</v>
      </c>
      <c r="J21" s="108"/>
      <c r="L21" s="38" t="s">
        <v>114</v>
      </c>
    </row>
    <row r="22" customFormat="false" ht="15" hidden="false" customHeight="true" outlineLevel="0" collapsed="false">
      <c r="B22" s="121" t="s">
        <v>127</v>
      </c>
      <c r="C22" s="66" t="s">
        <v>1012</v>
      </c>
      <c r="D22" s="14"/>
      <c r="E22" s="69" t="s">
        <v>506</v>
      </c>
      <c r="F22" s="70" t="n">
        <f aca="false">IF($E22="","",IFERROR(LOOKUP(VALUE(LEFT($E22&amp;"",FIND("-",$E22&amp;"-")-1)),$C$48:$C$53,$D$48:$D$53),""))</f>
        <v>0</v>
      </c>
      <c r="G22" s="71" t="n">
        <v>0</v>
      </c>
      <c r="H22" s="72" t="str">
        <f aca="false">IF($G22="","n/a",IF($F22=$G22,"ok","MISMATCH"))</f>
        <v>ok</v>
      </c>
      <c r="I22" s="144" t="n">
        <v>27500</v>
      </c>
      <c r="J22" s="108"/>
      <c r="L22" s="38" t="s">
        <v>127</v>
      </c>
    </row>
    <row r="23" customFormat="false" ht="15" hidden="false" customHeight="true" outlineLevel="0" collapsed="false">
      <c r="B23" s="121" t="s">
        <v>150</v>
      </c>
      <c r="C23" s="66" t="s">
        <v>1013</v>
      </c>
      <c r="D23" s="14"/>
      <c r="E23" s="69" t="s">
        <v>514</v>
      </c>
      <c r="F23" s="70" t="n">
        <f aca="false">IF($E23="","",IFERROR(LOOKUP(VALUE(LEFT($E23&amp;"",FIND("-",$E23&amp;"-")-1)),$C$48:$C$53,$D$48:$D$53),""))</f>
        <v>0</v>
      </c>
      <c r="G23" s="71"/>
      <c r="H23" s="72" t="str">
        <f aca="false">IF($G23="","n/a",IF($F23=$G23,"ok","MISMATCH"))</f>
        <v>n/a</v>
      </c>
      <c r="I23" s="144" t="n">
        <v>20000</v>
      </c>
      <c r="J23" s="108"/>
      <c r="L23" s="38" t="s">
        <v>150</v>
      </c>
    </row>
    <row r="24" customFormat="false" ht="15" hidden="false" customHeight="true" outlineLevel="0" collapsed="false">
      <c r="B24" s="121" t="s">
        <v>239</v>
      </c>
      <c r="C24" s="66" t="s">
        <v>1014</v>
      </c>
      <c r="D24" s="14"/>
      <c r="E24" s="69" t="s">
        <v>514</v>
      </c>
      <c r="F24" s="70" t="n">
        <f aca="false">IF($E24="","",IFERROR(LOOKUP(VALUE(LEFT($E24&amp;"",FIND("-",$E24&amp;"-")-1)),$C$48:$C$53,$D$48:$D$53),""))</f>
        <v>0</v>
      </c>
      <c r="G24" s="71"/>
      <c r="H24" s="72" t="str">
        <f aca="false">IF($G24="","n/a",IF($F24=$G24,"ok","MISMATCH"))</f>
        <v>n/a</v>
      </c>
      <c r="I24" s="144" t="n">
        <v>20000</v>
      </c>
      <c r="J24" s="108"/>
      <c r="L24" s="38" t="s">
        <v>239</v>
      </c>
    </row>
    <row r="25" customFormat="false" ht="15" hidden="false" customHeight="true" outlineLevel="0" collapsed="false">
      <c r="B25" s="121" t="s">
        <v>119</v>
      </c>
      <c r="C25" s="66" t="s">
        <v>1015</v>
      </c>
      <c r="D25" s="14"/>
      <c r="E25" s="69" t="s">
        <v>514</v>
      </c>
      <c r="F25" s="70" t="n">
        <f aca="false">IF($E25="","",IFERROR(LOOKUP(VALUE(LEFT($E25&amp;"",FIND("-",$E25&amp;"-")-1)),$C$48:$C$53,$D$48:$D$53),""))</f>
        <v>0</v>
      </c>
      <c r="G25" s="71"/>
      <c r="H25" s="72" t="str">
        <f aca="false">IF($G25="","n/a",IF($F25=$G25,"ok","MISMATCH"))</f>
        <v>n/a</v>
      </c>
      <c r="I25" s="144" t="n">
        <v>20000</v>
      </c>
      <c r="J25" s="108"/>
      <c r="L25" s="38" t="s">
        <v>119</v>
      </c>
    </row>
    <row r="26" customFormat="false" ht="15" hidden="false" customHeight="true" outlineLevel="0" collapsed="false">
      <c r="B26" s="121" t="s">
        <v>396</v>
      </c>
      <c r="C26" s="66" t="s">
        <v>1016</v>
      </c>
      <c r="D26" s="14"/>
      <c r="E26" s="69" t="s">
        <v>514</v>
      </c>
      <c r="F26" s="70" t="n">
        <f aca="false">IF($E26="","",IFERROR(LOOKUP(VALUE(LEFT($E26&amp;"",FIND("-",$E26&amp;"-")-1)),$C$48:$C$53,$D$48:$D$53),""))</f>
        <v>0</v>
      </c>
      <c r="G26" s="71"/>
      <c r="H26" s="72" t="str">
        <f aca="false">IF($G26="","n/a",IF($F26=$G26,"ok","MISMATCH"))</f>
        <v>n/a</v>
      </c>
      <c r="I26" s="144" t="n">
        <v>20000</v>
      </c>
      <c r="J26" s="108"/>
      <c r="L26" s="38" t="s">
        <v>396</v>
      </c>
    </row>
    <row r="27" customFormat="false" ht="15" hidden="false" customHeight="true" outlineLevel="0" collapsed="false">
      <c r="B27" s="121" t="s">
        <v>114</v>
      </c>
      <c r="C27" s="66" t="s">
        <v>991</v>
      </c>
      <c r="D27" s="14"/>
      <c r="E27" s="69" t="s">
        <v>916</v>
      </c>
      <c r="F27" s="70" t="n">
        <f aca="false">IF($E27="","",IFERROR(LOOKUP(VALUE(LEFT($E27&amp;"",FIND("-",$E27&amp;"-")-1)),$C$48:$C$53,$D$48:$D$53),""))</f>
        <v>0</v>
      </c>
      <c r="G27" s="71"/>
      <c r="H27" s="72" t="str">
        <f aca="false">IF($G27="","n/a",IF($F27=$G27,"ok","MISMATCH"))</f>
        <v>n/a</v>
      </c>
      <c r="I27" s="144" t="n">
        <v>12500</v>
      </c>
      <c r="J27" s="108"/>
      <c r="L27" s="38" t="s">
        <v>114</v>
      </c>
    </row>
    <row r="28" customFormat="false" ht="15" hidden="false" customHeight="true" outlineLevel="0" collapsed="false">
      <c r="B28" s="121" t="s">
        <v>119</v>
      </c>
      <c r="C28" s="66" t="s">
        <v>1017</v>
      </c>
      <c r="D28" s="14"/>
      <c r="E28" s="69" t="s">
        <v>916</v>
      </c>
      <c r="F28" s="70" t="n">
        <f aca="false">IF($E28="","",IFERROR(LOOKUP(VALUE(LEFT($E28&amp;"",FIND("-",$E28&amp;"-")-1)),$C$48:$C$53,$D$48:$D$53),""))</f>
        <v>0</v>
      </c>
      <c r="G28" s="71"/>
      <c r="H28" s="72" t="str">
        <f aca="false">IF($G28="","n/a",IF($F28=$G28,"ok","MISMATCH"))</f>
        <v>n/a</v>
      </c>
      <c r="I28" s="144" t="n">
        <v>12500</v>
      </c>
      <c r="J28" s="108"/>
      <c r="L28" s="38" t="s">
        <v>119</v>
      </c>
    </row>
    <row r="29" customFormat="false" ht="15" hidden="false" customHeight="true" outlineLevel="0" collapsed="false">
      <c r="B29" s="122" t="s">
        <v>894</v>
      </c>
      <c r="C29" s="66" t="s">
        <v>1018</v>
      </c>
      <c r="D29" s="14"/>
      <c r="E29" s="69" t="s">
        <v>916</v>
      </c>
      <c r="F29" s="70" t="n">
        <f aca="false">IF($E29="","",IFERROR(LOOKUP(VALUE(LEFT($E29&amp;"",FIND("-",$E29&amp;"-")-1)),$C$48:$C$53,$D$48:$D$53),""))</f>
        <v>0</v>
      </c>
      <c r="G29" s="71"/>
      <c r="H29" s="72" t="str">
        <f aca="false">IF($G29="","n/a",IF($F29=$G29,"ok","MISMATCH"))</f>
        <v>n/a</v>
      </c>
      <c r="I29" s="144" t="n">
        <v>12500</v>
      </c>
      <c r="J29" s="108"/>
      <c r="L29" s="38" t="s">
        <v>894</v>
      </c>
    </row>
    <row r="30" customFormat="false" ht="15" hidden="false" customHeight="true" outlineLevel="0" collapsed="false">
      <c r="B30" s="121" t="s">
        <v>1019</v>
      </c>
      <c r="C30" s="66" t="s">
        <v>1020</v>
      </c>
      <c r="D30" s="14"/>
      <c r="E30" s="69" t="s">
        <v>916</v>
      </c>
      <c r="F30" s="70" t="n">
        <f aca="false">IF($E30="","",IFERROR(LOOKUP(VALUE(LEFT($E30&amp;"",FIND("-",$E30&amp;"-")-1)),$C$48:$C$53,$D$48:$D$53),""))</f>
        <v>0</v>
      </c>
      <c r="G30" s="71"/>
      <c r="H30" s="72" t="str">
        <f aca="false">IF($G30="","n/a",IF($F30=$G30,"ok","MISMATCH"))</f>
        <v>n/a</v>
      </c>
      <c r="I30" s="144" t="n">
        <v>12500</v>
      </c>
      <c r="J30" s="108"/>
      <c r="L30" s="38" t="s">
        <v>1019</v>
      </c>
    </row>
    <row r="31" customFormat="false" ht="15" hidden="false" customHeight="true" outlineLevel="0" collapsed="false">
      <c r="B31" s="122" t="s">
        <v>894</v>
      </c>
      <c r="C31" s="66" t="s">
        <v>1021</v>
      </c>
      <c r="D31" s="14"/>
      <c r="E31" s="69" t="s">
        <v>916</v>
      </c>
      <c r="F31" s="70" t="n">
        <f aca="false">IF($E31="","",IFERROR(LOOKUP(VALUE(LEFT($E31&amp;"",FIND("-",$E31&amp;"-")-1)),$C$48:$C$53,$D$48:$D$53),""))</f>
        <v>0</v>
      </c>
      <c r="G31" s="71"/>
      <c r="H31" s="72" t="str">
        <f aca="false">IF($G31="","n/a",IF($F31=$G31,"ok","MISMATCH"))</f>
        <v>n/a</v>
      </c>
      <c r="I31" s="144" t="n">
        <v>12500</v>
      </c>
      <c r="J31" s="108"/>
      <c r="L31" s="38" t="s">
        <v>894</v>
      </c>
    </row>
    <row r="32" customFormat="false" ht="15" hidden="false" customHeight="true" outlineLevel="0" collapsed="false">
      <c r="B32" s="121" t="s">
        <v>114</v>
      </c>
      <c r="C32" s="66" t="s">
        <v>1022</v>
      </c>
      <c r="D32" s="14"/>
      <c r="E32" s="69" t="s">
        <v>916</v>
      </c>
      <c r="F32" s="70" t="n">
        <f aca="false">IF($E32="","",IFERROR(LOOKUP(VALUE(LEFT($E32&amp;"",FIND("-",$E32&amp;"-")-1)),$C$48:$C$53,$D$48:$D$53),""))</f>
        <v>0</v>
      </c>
      <c r="G32" s="71"/>
      <c r="H32" s="72" t="str">
        <f aca="false">IF($G32="","n/a",IF($F32=$G32,"ok","MISMATCH"))</f>
        <v>n/a</v>
      </c>
      <c r="I32" s="144" t="n">
        <v>12500</v>
      </c>
      <c r="J32" s="108"/>
      <c r="L32" s="38" t="s">
        <v>114</v>
      </c>
    </row>
    <row r="33" customFormat="false" ht="15" hidden="false" customHeight="true" outlineLevel="0" collapsed="false">
      <c r="B33" s="121" t="s">
        <v>1023</v>
      </c>
      <c r="C33" s="66" t="s">
        <v>1024</v>
      </c>
      <c r="D33" s="14"/>
      <c r="E33" s="69" t="s">
        <v>916</v>
      </c>
      <c r="F33" s="70" t="n">
        <f aca="false">IF($E33="","",IFERROR(LOOKUP(VALUE(LEFT($E33&amp;"",FIND("-",$E33&amp;"-")-1)),$C$48:$C$53,$D$48:$D$53),""))</f>
        <v>0</v>
      </c>
      <c r="G33" s="71"/>
      <c r="H33" s="72" t="str">
        <f aca="false">IF($G33="","n/a",IF($F33=$G33,"ok","MISMATCH"))</f>
        <v>n/a</v>
      </c>
      <c r="I33" s="144" t="n">
        <v>12500</v>
      </c>
      <c r="J33" s="108"/>
      <c r="L33" s="38" t="s">
        <v>1023</v>
      </c>
    </row>
    <row r="34" customFormat="false" ht="15" hidden="false" customHeight="true" outlineLevel="0" collapsed="false">
      <c r="B34" s="122" t="s">
        <v>894</v>
      </c>
      <c r="C34" s="66" t="s">
        <v>1025</v>
      </c>
      <c r="D34" s="14"/>
      <c r="E34" s="69" t="s">
        <v>916</v>
      </c>
      <c r="F34" s="70" t="n">
        <f aca="false">IF($E34="","",IFERROR(LOOKUP(VALUE(LEFT($E34&amp;"",FIND("-",$E34&amp;"-")-1)),$C$48:$C$53,$D$48:$D$53),""))</f>
        <v>0</v>
      </c>
      <c r="G34" s="71"/>
      <c r="H34" s="72" t="str">
        <f aca="false">IF($G34="","n/a",IF($F34=$G34,"ok","MISMATCH"))</f>
        <v>n/a</v>
      </c>
      <c r="I34" s="144" t="n">
        <v>12500</v>
      </c>
      <c r="J34" s="108"/>
      <c r="L34" s="38" t="s">
        <v>894</v>
      </c>
    </row>
    <row r="35" customFormat="false" ht="15" hidden="false" customHeight="true" outlineLevel="0" collapsed="false">
      <c r="B35" s="121" t="s">
        <v>150</v>
      </c>
      <c r="C35" s="66" t="s">
        <v>1026</v>
      </c>
      <c r="D35" s="14"/>
      <c r="E35" s="69" t="s">
        <v>928</v>
      </c>
      <c r="F35" s="70" t="n">
        <f aca="false">IF($E35="","",IFERROR(LOOKUP(VALUE(LEFT($E35&amp;"",FIND("-",$E35&amp;"-")-1)),$C$48:$C$53,$D$48:$D$53),""))</f>
        <v>0</v>
      </c>
      <c r="G35" s="71"/>
      <c r="H35" s="72" t="str">
        <f aca="false">IF($G35="","n/a",IF($F35=$G35,"ok","MISMATCH"))</f>
        <v>n/a</v>
      </c>
      <c r="I35" s="144" t="n">
        <v>7500</v>
      </c>
      <c r="J35" s="108"/>
      <c r="L35" s="38" t="s">
        <v>150</v>
      </c>
    </row>
    <row r="36" customFormat="false" ht="15" hidden="false" customHeight="true" outlineLevel="0" collapsed="false">
      <c r="B36" s="121" t="s">
        <v>161</v>
      </c>
      <c r="C36" s="66" t="s">
        <v>1027</v>
      </c>
      <c r="D36" s="14"/>
      <c r="E36" s="69" t="s">
        <v>928</v>
      </c>
      <c r="F36" s="70" t="n">
        <f aca="false">IF($E36="","",IFERROR(LOOKUP(VALUE(LEFT($E36&amp;"",FIND("-",$E36&amp;"-")-1)),$C$48:$C$53,$D$48:$D$53),""))</f>
        <v>0</v>
      </c>
      <c r="G36" s="71" t="n">
        <v>0</v>
      </c>
      <c r="H36" s="72" t="str">
        <f aca="false">IF($G36="","n/a",IF($F36=$G36,"ok","MISMATCH"))</f>
        <v>ok</v>
      </c>
      <c r="I36" s="144" t="n">
        <v>7500</v>
      </c>
      <c r="J36" s="108"/>
      <c r="L36" s="38" t="s">
        <v>161</v>
      </c>
    </row>
    <row r="37" customFormat="false" ht="15" hidden="false" customHeight="true" outlineLevel="0" collapsed="false">
      <c r="B37" s="121" t="s">
        <v>147</v>
      </c>
      <c r="C37" s="66" t="s">
        <v>1028</v>
      </c>
      <c r="D37" s="14"/>
      <c r="E37" s="69" t="s">
        <v>928</v>
      </c>
      <c r="F37" s="70" t="n">
        <f aca="false">IF($E37="","",IFERROR(LOOKUP(VALUE(LEFT($E37&amp;"",FIND("-",$E37&amp;"-")-1)),$C$48:$C$53,$D$48:$D$53),""))</f>
        <v>0</v>
      </c>
      <c r="G37" s="71" t="n">
        <v>0</v>
      </c>
      <c r="H37" s="72" t="str">
        <f aca="false">IF($G37="","n/a",IF($F37=$G37,"ok","MISMATCH"))</f>
        <v>ok</v>
      </c>
      <c r="I37" s="144" t="n">
        <v>7500</v>
      </c>
      <c r="J37" s="108"/>
      <c r="L37" s="38" t="s">
        <v>147</v>
      </c>
    </row>
    <row r="38" customFormat="false" ht="15" hidden="false" customHeight="true" outlineLevel="0" collapsed="false">
      <c r="B38" s="121" t="s">
        <v>127</v>
      </c>
      <c r="C38" s="66" t="s">
        <v>1029</v>
      </c>
      <c r="D38" s="14"/>
      <c r="E38" s="69" t="s">
        <v>928</v>
      </c>
      <c r="F38" s="70" t="n">
        <f aca="false">IF($E38="","",IFERROR(LOOKUP(VALUE(LEFT($E38&amp;"",FIND("-",$E38&amp;"-")-1)),$C$48:$C$53,$D$48:$D$53),""))</f>
        <v>0</v>
      </c>
      <c r="G38" s="71"/>
      <c r="H38" s="72" t="str">
        <f aca="false">IF($G38="","n/a",IF($F38=$G38,"ok","MISMATCH"))</f>
        <v>n/a</v>
      </c>
      <c r="I38" s="144" t="n">
        <v>7500</v>
      </c>
      <c r="J38" s="108"/>
      <c r="L38" s="38" t="s">
        <v>127</v>
      </c>
    </row>
    <row r="39" customFormat="false" ht="15" hidden="false" customHeight="true" outlineLevel="0" collapsed="false">
      <c r="B39" s="121" t="s">
        <v>152</v>
      </c>
      <c r="C39" s="66" t="s">
        <v>1030</v>
      </c>
      <c r="D39" s="14"/>
      <c r="E39" s="69" t="s">
        <v>928</v>
      </c>
      <c r="F39" s="70" t="n">
        <f aca="false">IF($E39="","",IFERROR(LOOKUP(VALUE(LEFT($E39&amp;"",FIND("-",$E39&amp;"-")-1)),$C$48:$C$53,$D$48:$D$53),""))</f>
        <v>0</v>
      </c>
      <c r="G39" s="71" t="n">
        <v>0</v>
      </c>
      <c r="H39" s="72" t="str">
        <f aca="false">IF($G39="","n/a",IF($F39=$G39,"ok","MISMATCH"))</f>
        <v>ok</v>
      </c>
      <c r="I39" s="144" t="n">
        <v>7500</v>
      </c>
      <c r="J39" s="108"/>
      <c r="L39" s="38" t="s">
        <v>152</v>
      </c>
    </row>
    <row r="40" customFormat="false" ht="15" hidden="false" customHeight="true" outlineLevel="0" collapsed="false">
      <c r="B40" s="121" t="s">
        <v>114</v>
      </c>
      <c r="C40" s="66" t="s">
        <v>1031</v>
      </c>
      <c r="D40" s="14"/>
      <c r="E40" s="69" t="s">
        <v>928</v>
      </c>
      <c r="F40" s="70" t="n">
        <f aca="false">IF($E40="","",IFERROR(LOOKUP(VALUE(LEFT($E40&amp;"",FIND("-",$E40&amp;"-")-1)),$C$48:$C$53,$D$48:$D$53),""))</f>
        <v>0</v>
      </c>
      <c r="G40" s="71"/>
      <c r="H40" s="72" t="str">
        <f aca="false">IF($G40="","n/a",IF($F40=$G40,"ok","MISMATCH"))</f>
        <v>n/a</v>
      </c>
      <c r="I40" s="144" t="n">
        <v>7500</v>
      </c>
      <c r="J40" s="108"/>
      <c r="L40" s="38" t="s">
        <v>114</v>
      </c>
    </row>
    <row r="41" customFormat="false" ht="15" hidden="false" customHeight="true" outlineLevel="0" collapsed="false">
      <c r="B41" s="121" t="s">
        <v>147</v>
      </c>
      <c r="C41" s="66" t="s">
        <v>1032</v>
      </c>
      <c r="D41" s="14"/>
      <c r="E41" s="69" t="s">
        <v>928</v>
      </c>
      <c r="F41" s="70" t="n">
        <f aca="false">IF($E41="","",IFERROR(LOOKUP(VALUE(LEFT($E41&amp;"",FIND("-",$E41&amp;"-")-1)),$C$48:$C$53,$D$48:$D$53),""))</f>
        <v>0</v>
      </c>
      <c r="G41" s="71"/>
      <c r="H41" s="72" t="str">
        <f aca="false">IF($G41="","n/a",IF($F41=$G41,"ok","MISMATCH"))</f>
        <v>n/a</v>
      </c>
      <c r="I41" s="144" t="n">
        <v>7500</v>
      </c>
      <c r="J41" s="108"/>
      <c r="L41" s="38" t="s">
        <v>147</v>
      </c>
    </row>
    <row r="42" customFormat="false" ht="15" hidden="false" customHeight="true" outlineLevel="0" collapsed="false">
      <c r="B42" s="121" t="s">
        <v>193</v>
      </c>
      <c r="C42" s="66" t="s">
        <v>1033</v>
      </c>
      <c r="D42" s="14"/>
      <c r="E42" s="69" t="s">
        <v>928</v>
      </c>
      <c r="F42" s="70" t="n">
        <f aca="false">IF($E42="","",IFERROR(LOOKUP(VALUE(LEFT($E42&amp;"",FIND("-",$E42&amp;"-")-1)),$C$48:$C$53,$D$48:$D$53),""))</f>
        <v>0</v>
      </c>
      <c r="G42" s="71" t="n">
        <v>0</v>
      </c>
      <c r="H42" s="72" t="str">
        <f aca="false">IF($G42="","n/a",IF($F42=$G42,"ok","MISMATCH"))</f>
        <v>ok</v>
      </c>
      <c r="I42" s="144" t="n">
        <v>7500</v>
      </c>
      <c r="J42" s="108"/>
      <c r="L42" s="38" t="s">
        <v>193</v>
      </c>
    </row>
    <row r="44" customFormat="false" ht="15" hidden="false" customHeight="true" outlineLevel="0" collapsed="false">
      <c r="B44" s="11" t="s">
        <v>459</v>
      </c>
      <c r="F44" s="77" t="n">
        <f aca="false">SUM(F11:F42)</f>
        <v>3350</v>
      </c>
    </row>
    <row r="45" customFormat="false" ht="15" hidden="false" customHeight="true" outlineLevel="0" collapsed="false">
      <c r="B45" s="18" t="s">
        <v>940</v>
      </c>
    </row>
    <row r="46" customFormat="false" ht="15" hidden="false" customHeight="true" outlineLevel="0" collapsed="false">
      <c r="B46" s="11" t="s">
        <v>461</v>
      </c>
    </row>
    <row r="47" customFormat="false" ht="15" hidden="false" customHeight="true" outlineLevel="0" collapsed="false">
      <c r="B47" s="4" t="s">
        <v>463</v>
      </c>
      <c r="C47" s="4" t="s">
        <v>464</v>
      </c>
      <c r="D47" s="4" t="s">
        <v>465</v>
      </c>
    </row>
    <row r="48" customFormat="false" ht="15" hidden="false" customHeight="true" outlineLevel="0" collapsed="false">
      <c r="C48" s="13" t="n">
        <v>1</v>
      </c>
      <c r="D48" s="79" t="n">
        <v>1000</v>
      </c>
      <c r="E48" s="80" t="s">
        <v>466</v>
      </c>
    </row>
    <row r="49" customFormat="false" ht="15" hidden="false" customHeight="true" outlineLevel="0" collapsed="false">
      <c r="C49" s="13" t="n">
        <v>2</v>
      </c>
      <c r="D49" s="79" t="n">
        <v>750</v>
      </c>
      <c r="E49" s="80" t="s">
        <v>467</v>
      </c>
    </row>
    <row r="50" customFormat="false" ht="15" hidden="false" customHeight="true" outlineLevel="0" collapsed="false">
      <c r="C50" s="13" t="n">
        <v>3</v>
      </c>
      <c r="D50" s="79" t="n">
        <v>500</v>
      </c>
      <c r="E50" s="80" t="s">
        <v>468</v>
      </c>
    </row>
    <row r="51" customFormat="false" ht="15" hidden="false" customHeight="true" outlineLevel="0" collapsed="false">
      <c r="C51" s="13" t="n">
        <v>4</v>
      </c>
      <c r="D51" s="79" t="n">
        <v>300</v>
      </c>
      <c r="E51" s="80" t="s">
        <v>469</v>
      </c>
    </row>
    <row r="52" customFormat="false" ht="15" hidden="false" customHeight="true" outlineLevel="0" collapsed="false">
      <c r="C52" s="13" t="n">
        <v>5</v>
      </c>
      <c r="D52" s="79" t="n">
        <v>200</v>
      </c>
      <c r="E52" s="80" t="s">
        <v>537</v>
      </c>
    </row>
    <row r="53" customFormat="false" ht="15" hidden="false" customHeight="true" outlineLevel="0" collapsed="false">
      <c r="C53" s="13" t="n">
        <v>9</v>
      </c>
      <c r="D53" s="79" t="n">
        <v>0</v>
      </c>
      <c r="E53" s="80" t="s">
        <v>832</v>
      </c>
    </row>
    <row r="56" customFormat="false" ht="15" hidden="false" customHeight="true" outlineLevel="0" collapsed="false">
      <c r="B56" s="11" t="s">
        <v>1034</v>
      </c>
    </row>
    <row r="57" customFormat="false" ht="15" hidden="false" customHeight="true" outlineLevel="0" collapsed="false">
      <c r="B57" s="3" t="s">
        <v>1035</v>
      </c>
      <c r="C57" s="3"/>
      <c r="D57" s="3"/>
      <c r="E57" s="3"/>
      <c r="F57" s="3"/>
      <c r="G57" s="3"/>
      <c r="H57" s="3"/>
      <c r="I57" s="3"/>
      <c r="J57" s="3"/>
    </row>
    <row r="58" customFormat="false" ht="15" hidden="false" customHeight="true" outlineLevel="0" collapsed="false">
      <c r="B58" s="3"/>
      <c r="C58" s="3"/>
      <c r="D58" s="3"/>
      <c r="E58" s="3"/>
      <c r="F58" s="3"/>
      <c r="G58" s="3"/>
      <c r="H58" s="3"/>
      <c r="I58" s="3"/>
      <c r="J58" s="3"/>
    </row>
    <row r="59" customFormat="false" ht="15" hidden="false" customHeight="true" outlineLevel="0" collapsed="false">
      <c r="B59" s="3"/>
      <c r="C59" s="3"/>
      <c r="D59" s="3"/>
      <c r="E59" s="3"/>
      <c r="F59" s="3"/>
      <c r="G59" s="3"/>
      <c r="H59" s="3"/>
      <c r="I59" s="3"/>
      <c r="J59" s="3"/>
    </row>
    <row r="60" customFormat="false" ht="15" hidden="false" customHeight="true" outlineLevel="0" collapsed="false">
      <c r="B60" s="3"/>
      <c r="C60" s="3"/>
      <c r="D60" s="3"/>
      <c r="E60" s="3"/>
      <c r="F60" s="3"/>
      <c r="G60" s="3"/>
      <c r="H60" s="3"/>
      <c r="I60" s="3"/>
      <c r="J60" s="3"/>
    </row>
    <row r="61" customFormat="false" ht="15" hidden="false" customHeight="true" outlineLevel="0" collapsed="false">
      <c r="B61" s="3"/>
      <c r="C61" s="3"/>
      <c r="D61" s="3"/>
      <c r="E61" s="3"/>
      <c r="F61" s="3"/>
      <c r="G61" s="3"/>
      <c r="H61" s="3"/>
      <c r="I61" s="3"/>
      <c r="J61" s="3"/>
    </row>
    <row r="62" customFormat="false" ht="15" hidden="false" customHeight="true" outlineLevel="0" collapsed="false">
      <c r="B62" s="3"/>
      <c r="C62" s="3"/>
      <c r="D62" s="3"/>
      <c r="E62" s="3"/>
      <c r="F62" s="3"/>
      <c r="G62" s="3"/>
      <c r="H62" s="3"/>
      <c r="I62" s="3"/>
      <c r="J62" s="3"/>
    </row>
    <row r="63" customFormat="false" ht="15" hidden="false" customHeight="true" outlineLevel="0" collapsed="false">
      <c r="B63" s="3"/>
      <c r="C63" s="3"/>
      <c r="D63" s="3"/>
      <c r="E63" s="3"/>
      <c r="F63" s="3"/>
      <c r="G63" s="3"/>
      <c r="H63" s="3"/>
      <c r="I63" s="3"/>
      <c r="J63" s="3"/>
    </row>
  </sheetData>
  <sheetProtection sheet="true" formatCells="false" selectLockedCells="true" selectUnlockedCells="true"/>
  <mergeCells count="1">
    <mergeCell ref="B57:J63"/>
  </mergeCells>
  <dataValidations count="1">
    <dataValidation allowBlank="true" error="Pick a placement from the list." errorStyle="stop" errorTitle="Use the dropdown" operator="between" showDropDown="false" showErrorMessage="false" showInputMessage="false" sqref="E11:E42" type="list">
      <formula1>"1,2,3,4,5-8,9-12,13-16,17-24,25-32"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4" min="3" style="1" width="11"/>
    <col collapsed="false" customWidth="true" hidden="false" outlineLevel="0" max="5" min="5" style="1" width="10"/>
    <col collapsed="false" customWidth="true" hidden="false" outlineLevel="0" max="8" min="6" style="1" width="11"/>
    <col collapsed="false" customWidth="true" hidden="false" outlineLevel="0" max="9" min="9" style="1" width="14"/>
    <col collapsed="false" customWidth="true" hidden="false" outlineLevel="0" max="10" min="10" style="1" width="10"/>
    <col collapsed="false" customWidth="true" hidden="false" outlineLevel="0" max="11" min="11" style="1" width="11"/>
    <col collapsed="false" customWidth="true" hidden="false" outlineLevel="0" max="12" min="12" style="1" width="34"/>
  </cols>
  <sheetData>
    <row r="2" customFormat="false" ht="18" hidden="false" customHeight="true" outlineLevel="0" collapsed="false">
      <c r="B2" s="2" t="s">
        <v>1036</v>
      </c>
    </row>
    <row r="3" customFormat="false" ht="15" hidden="false" customHeight="true" outlineLevel="0" collapsed="false">
      <c r="B3" s="18" t="s">
        <v>1037</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1038</v>
      </c>
      <c r="D6" s="28" t="s">
        <v>549</v>
      </c>
      <c r="F6" s="28" t="s">
        <v>1039</v>
      </c>
      <c r="H6" s="28" t="s">
        <v>1040</v>
      </c>
      <c r="J6" s="28" t="s">
        <v>1041</v>
      </c>
      <c r="L6" s="28" t="s">
        <v>553</v>
      </c>
    </row>
    <row r="8" customFormat="false" ht="15" hidden="false" customHeight="true" outlineLevel="0" collapsed="false">
      <c r="B8" s="11" t="s">
        <v>416</v>
      </c>
    </row>
    <row r="9" customFormat="false" ht="15" hidden="false" customHeight="true" outlineLevel="0" collapsed="false">
      <c r="B9" s="18" t="s">
        <v>1042</v>
      </c>
    </row>
    <row r="10" customFormat="false" ht="34.5" hidden="false" customHeight="true" outlineLevel="0" collapsed="false">
      <c r="B10" s="4" t="s">
        <v>418</v>
      </c>
      <c r="C10" s="4" t="s">
        <v>555</v>
      </c>
      <c r="D10" s="4" t="s">
        <v>556</v>
      </c>
      <c r="E10" s="4" t="s">
        <v>421</v>
      </c>
      <c r="F10" s="4" t="s">
        <v>422</v>
      </c>
      <c r="G10" s="4" t="s">
        <v>1043</v>
      </c>
      <c r="H10" s="4" t="s">
        <v>1044</v>
      </c>
      <c r="I10" s="4" t="s">
        <v>423</v>
      </c>
      <c r="J10" s="4" t="s">
        <v>424</v>
      </c>
      <c r="K10" s="4" t="s">
        <v>425</v>
      </c>
      <c r="L10" s="4" t="s">
        <v>41</v>
      </c>
      <c r="N10" s="4" t="s">
        <v>426</v>
      </c>
    </row>
    <row r="11" customFormat="false" ht="15" hidden="false" customHeight="true" outlineLevel="0" collapsed="false">
      <c r="B11" s="29" t="s">
        <v>178</v>
      </c>
      <c r="C11" s="98" t="s">
        <v>1045</v>
      </c>
      <c r="D11" s="99" t="s">
        <v>558</v>
      </c>
      <c r="E11" s="32" t="s">
        <v>427</v>
      </c>
      <c r="F11" s="33" t="n">
        <f aca="false">IF($E11="","",IFERROR(LOOKUP(VALUE(LEFT($E11&amp;"",FIND("-",$E11&amp;"-")-1)),$C$34:$C$39,$D$34:$D$39),""))</f>
        <v>1000</v>
      </c>
      <c r="G11" s="146" t="s">
        <v>117</v>
      </c>
      <c r="H11" s="33" t="n">
        <f aca="false">IF($G11="VOID",0,$F11)</f>
        <v>1000</v>
      </c>
      <c r="I11" s="34" t="n">
        <v>1000</v>
      </c>
      <c r="J11" s="35" t="str">
        <f aca="false">IF($I11="","n/a",IF($H11=$I11,"ok","MISMATCH"))</f>
        <v>ok</v>
      </c>
      <c r="K11" s="137" t="n">
        <v>150000</v>
      </c>
      <c r="L11" s="85"/>
      <c r="N11" s="38" t="s">
        <v>178</v>
      </c>
    </row>
    <row r="12" customFormat="false" ht="15" hidden="false" customHeight="true" outlineLevel="0" collapsed="false">
      <c r="B12" s="39" t="s">
        <v>157</v>
      </c>
      <c r="C12" s="101" t="s">
        <v>1045</v>
      </c>
      <c r="D12" s="99" t="s">
        <v>558</v>
      </c>
      <c r="E12" s="42" t="s">
        <v>428</v>
      </c>
      <c r="F12" s="43" t="n">
        <f aca="false">IF($E12="","",IFERROR(LOOKUP(VALUE(LEFT($E12&amp;"",FIND("-",$E12&amp;"-")-1)),$C$34:$C$39,$D$34:$D$39),""))</f>
        <v>750</v>
      </c>
      <c r="G12" s="146" t="s">
        <v>117</v>
      </c>
      <c r="H12" s="43" t="n">
        <f aca="false">IF($G12="VOID",0,$F12)</f>
        <v>750</v>
      </c>
      <c r="I12" s="44" t="n">
        <v>750</v>
      </c>
      <c r="J12" s="45" t="str">
        <f aca="false">IF($I12="","n/a",IF($H12=$I12,"ok","MISMATCH"))</f>
        <v>ok</v>
      </c>
      <c r="K12" s="139" t="n">
        <v>90000</v>
      </c>
      <c r="L12" s="87"/>
      <c r="N12" s="38" t="s">
        <v>157</v>
      </c>
    </row>
    <row r="13" customFormat="false" ht="15" hidden="false" customHeight="true" outlineLevel="0" collapsed="false">
      <c r="B13" s="48" t="s">
        <v>127</v>
      </c>
      <c r="C13" s="104" t="s">
        <v>1045</v>
      </c>
      <c r="D13" s="99" t="s">
        <v>558</v>
      </c>
      <c r="E13" s="51" t="s">
        <v>430</v>
      </c>
      <c r="F13" s="52" t="n">
        <f aca="false">IF($E13="","",IFERROR(LOOKUP(VALUE(LEFT($E13&amp;"",FIND("-",$E13&amp;"-")-1)),$C$34:$C$39,$D$34:$D$39),""))</f>
        <v>500</v>
      </c>
      <c r="G13" s="146" t="s">
        <v>117</v>
      </c>
      <c r="H13" s="52" t="n">
        <f aca="false">IF($G13="VOID",0,$F13)</f>
        <v>500</v>
      </c>
      <c r="I13" s="53" t="n">
        <v>500</v>
      </c>
      <c r="J13" s="54" t="str">
        <f aca="false">IF($I13="","n/a",IF($H13=$I13,"ok","MISMATCH"))</f>
        <v>ok</v>
      </c>
      <c r="K13" s="140" t="n">
        <v>50000</v>
      </c>
      <c r="L13" s="89"/>
      <c r="N13" s="38" t="s">
        <v>127</v>
      </c>
    </row>
    <row r="14" customFormat="false" ht="15" hidden="false" customHeight="true" outlineLevel="0" collapsed="false">
      <c r="B14" s="57" t="s">
        <v>284</v>
      </c>
      <c r="C14" s="106" t="s">
        <v>1046</v>
      </c>
      <c r="D14" s="102" t="s">
        <v>560</v>
      </c>
      <c r="E14" s="60" t="s">
        <v>431</v>
      </c>
      <c r="F14" s="61" t="n">
        <f aca="false">IF($E14="","",IFERROR(LOOKUP(VALUE(LEFT($E14&amp;"",FIND("-",$E14&amp;"-")-1)),$C$34:$C$39,$D$34:$D$39),""))</f>
        <v>300</v>
      </c>
      <c r="G14" s="146" t="s">
        <v>117</v>
      </c>
      <c r="H14" s="61" t="n">
        <f aca="false">IF($G14="VOID",0,$F14)</f>
        <v>300</v>
      </c>
      <c r="I14" s="62" t="n">
        <v>300</v>
      </c>
      <c r="J14" s="63" t="str">
        <f aca="false">IF($I14="","n/a",IF($H14=$I14,"ok","MISMATCH"))</f>
        <v>ok</v>
      </c>
      <c r="K14" s="142" t="n">
        <v>30000</v>
      </c>
      <c r="L14" s="91"/>
      <c r="N14" s="38" t="s">
        <v>284</v>
      </c>
    </row>
    <row r="15" customFormat="false" ht="15" hidden="false" customHeight="true" outlineLevel="0" collapsed="false">
      <c r="B15" s="57" t="s">
        <v>255</v>
      </c>
      <c r="C15" s="106" t="s">
        <v>1047</v>
      </c>
      <c r="D15" s="99" t="s">
        <v>558</v>
      </c>
      <c r="E15" s="60" t="s">
        <v>432</v>
      </c>
      <c r="F15" s="61" t="n">
        <f aca="false">IF($E15="","",IFERROR(LOOKUP(VALUE(LEFT($E15&amp;"",FIND("-",$E15&amp;"-")-1)),$C$34:$C$39,$D$34:$D$39),""))</f>
        <v>200</v>
      </c>
      <c r="G15" s="147" t="s">
        <v>1048</v>
      </c>
      <c r="H15" s="61" t="n">
        <f aca="false">IF($G15="VOID",0,$F15)</f>
        <v>0</v>
      </c>
      <c r="I15" s="62"/>
      <c r="J15" s="63" t="str">
        <f aca="false">IF($I15="","n/a",IF($H15=$I15,"ok","MISMATCH"))</f>
        <v>n/a</v>
      </c>
      <c r="K15" s="142" t="n">
        <v>20000</v>
      </c>
      <c r="L15" s="148" t="s">
        <v>1049</v>
      </c>
      <c r="N15" s="38" t="s">
        <v>255</v>
      </c>
    </row>
    <row r="16" customFormat="false" ht="15" hidden="false" customHeight="true" outlineLevel="0" collapsed="false">
      <c r="B16" s="57" t="s">
        <v>123</v>
      </c>
      <c r="C16" s="106" t="s">
        <v>1050</v>
      </c>
      <c r="D16" s="102" t="s">
        <v>560</v>
      </c>
      <c r="E16" s="60" t="s">
        <v>432</v>
      </c>
      <c r="F16" s="61" t="n">
        <f aca="false">IF($E16="","",IFERROR(LOOKUP(VALUE(LEFT($E16&amp;"",FIND("-",$E16&amp;"-")-1)),$C$34:$C$39,$D$34:$D$39),""))</f>
        <v>200</v>
      </c>
      <c r="G16" s="146" t="s">
        <v>117</v>
      </c>
      <c r="H16" s="61" t="n">
        <f aca="false">IF($G16="VOID",0,$F16)</f>
        <v>200</v>
      </c>
      <c r="I16" s="62" t="n">
        <v>200</v>
      </c>
      <c r="J16" s="63" t="str">
        <f aca="false">IF($I16="","n/a",IF($H16=$I16,"ok","MISMATCH"))</f>
        <v>ok</v>
      </c>
      <c r="K16" s="142" t="n">
        <v>20000</v>
      </c>
      <c r="L16" s="91"/>
      <c r="N16" s="38" t="s">
        <v>123</v>
      </c>
    </row>
    <row r="17" customFormat="false" ht="15" hidden="false" customHeight="true" outlineLevel="0" collapsed="false">
      <c r="B17" s="57" t="s">
        <v>150</v>
      </c>
      <c r="C17" s="106" t="s">
        <v>1045</v>
      </c>
      <c r="D17" s="99" t="s">
        <v>558</v>
      </c>
      <c r="E17" s="60" t="s">
        <v>432</v>
      </c>
      <c r="F17" s="61" t="n">
        <f aca="false">IF($E17="","",IFERROR(LOOKUP(VALUE(LEFT($E17&amp;"",FIND("-",$E17&amp;"-")-1)),$C$34:$C$39,$D$34:$D$39),""))</f>
        <v>200</v>
      </c>
      <c r="G17" s="146" t="s">
        <v>117</v>
      </c>
      <c r="H17" s="61" t="n">
        <f aca="false">IF($G17="VOID",0,$F17)</f>
        <v>200</v>
      </c>
      <c r="I17" s="62" t="n">
        <v>200</v>
      </c>
      <c r="J17" s="63" t="str">
        <f aca="false">IF($I17="","n/a",IF($H17=$I17,"ok","MISMATCH"))</f>
        <v>ok</v>
      </c>
      <c r="K17" s="142" t="n">
        <v>20000</v>
      </c>
      <c r="L17" s="91" t="s">
        <v>1051</v>
      </c>
      <c r="N17" s="38" t="s">
        <v>150</v>
      </c>
    </row>
    <row r="18" customFormat="false" ht="15" hidden="false" customHeight="true" outlineLevel="0" collapsed="false">
      <c r="B18" s="57" t="s">
        <v>500</v>
      </c>
      <c r="C18" s="106" t="s">
        <v>1052</v>
      </c>
      <c r="D18" s="102" t="s">
        <v>560</v>
      </c>
      <c r="E18" s="60" t="s">
        <v>432</v>
      </c>
      <c r="F18" s="61" t="n">
        <f aca="false">IF($E18="","",IFERROR(LOOKUP(VALUE(LEFT($E18&amp;"",FIND("-",$E18&amp;"-")-1)),$C$34:$C$39,$D$34:$D$39),""))</f>
        <v>200</v>
      </c>
      <c r="G18" s="146" t="s">
        <v>117</v>
      </c>
      <c r="H18" s="61" t="n">
        <f aca="false">IF($G18="VOID",0,$F18)</f>
        <v>200</v>
      </c>
      <c r="I18" s="62"/>
      <c r="J18" s="63" t="str">
        <f aca="false">IF($I18="","n/a",IF($H18=$I18,"ok","MISMATCH"))</f>
        <v>n/a</v>
      </c>
      <c r="K18" s="142" t="n">
        <v>20000</v>
      </c>
      <c r="L18" s="91"/>
      <c r="N18" s="76" t="s">
        <v>138</v>
      </c>
    </row>
    <row r="19" customFormat="false" ht="15" hidden="false" customHeight="true" outlineLevel="0" collapsed="false">
      <c r="B19" s="66" t="s">
        <v>173</v>
      </c>
      <c r="C19" s="14" t="s">
        <v>1047</v>
      </c>
      <c r="D19" s="99" t="s">
        <v>558</v>
      </c>
      <c r="E19" s="69" t="s">
        <v>506</v>
      </c>
      <c r="F19" s="70" t="n">
        <f aca="false">IF($E19="","",IFERROR(LOOKUP(VALUE(LEFT($E19&amp;"",FIND("-",$E19&amp;"-")-1)),$C$34:$C$39,$D$34:$D$39),""))</f>
        <v>0</v>
      </c>
      <c r="G19" s="146" t="s">
        <v>117</v>
      </c>
      <c r="H19" s="70" t="n">
        <f aca="false">IF($G19="VOID",0,$F19)</f>
        <v>0</v>
      </c>
      <c r="I19" s="71" t="n">
        <v>0</v>
      </c>
      <c r="J19" s="72" t="str">
        <f aca="false">IF($I19="","n/a",IF($H19=$I19,"ok","MISMATCH"))</f>
        <v>ok</v>
      </c>
      <c r="K19" s="144" t="n">
        <v>15000</v>
      </c>
      <c r="L19" s="16"/>
      <c r="N19" s="38" t="s">
        <v>173</v>
      </c>
    </row>
    <row r="20" customFormat="false" ht="15" hidden="false" customHeight="true" outlineLevel="0" collapsed="false">
      <c r="B20" s="66" t="s">
        <v>294</v>
      </c>
      <c r="C20" s="14" t="s">
        <v>1050</v>
      </c>
      <c r="D20" s="102" t="s">
        <v>560</v>
      </c>
      <c r="E20" s="69" t="s">
        <v>506</v>
      </c>
      <c r="F20" s="70" t="n">
        <f aca="false">IF($E20="","",IFERROR(LOOKUP(VALUE(LEFT($E20&amp;"",FIND("-",$E20&amp;"-")-1)),$C$34:$C$39,$D$34:$D$39),""))</f>
        <v>0</v>
      </c>
      <c r="G20" s="146" t="s">
        <v>117</v>
      </c>
      <c r="H20" s="70" t="n">
        <f aca="false">IF($G20="VOID",0,$F20)</f>
        <v>0</v>
      </c>
      <c r="I20" s="71" t="n">
        <v>0</v>
      </c>
      <c r="J20" s="72" t="str">
        <f aca="false">IF($I20="","n/a",IF($H20=$I20,"ok","MISMATCH"))</f>
        <v>ok</v>
      </c>
      <c r="K20" s="144" t="n">
        <v>15000</v>
      </c>
      <c r="L20" s="16"/>
      <c r="N20" s="38" t="s">
        <v>294</v>
      </c>
    </row>
    <row r="21" customFormat="false" ht="15" hidden="false" customHeight="true" outlineLevel="0" collapsed="false">
      <c r="B21" s="66" t="s">
        <v>224</v>
      </c>
      <c r="C21" s="14" t="s">
        <v>1050</v>
      </c>
      <c r="D21" s="102" t="s">
        <v>560</v>
      </c>
      <c r="E21" s="69" t="s">
        <v>506</v>
      </c>
      <c r="F21" s="70" t="n">
        <f aca="false">IF($E21="","",IFERROR(LOOKUP(VALUE(LEFT($E21&amp;"",FIND("-",$E21&amp;"-")-1)),$C$34:$C$39,$D$34:$D$39),""))</f>
        <v>0</v>
      </c>
      <c r="G21" s="146" t="s">
        <v>117</v>
      </c>
      <c r="H21" s="70" t="n">
        <f aca="false">IF($G21="VOID",0,$F21)</f>
        <v>0</v>
      </c>
      <c r="I21" s="71" t="n">
        <v>0</v>
      </c>
      <c r="J21" s="72" t="str">
        <f aca="false">IF($I21="","n/a",IF($H21=$I21,"ok","MISMATCH"))</f>
        <v>ok</v>
      </c>
      <c r="K21" s="144" t="n">
        <v>15000</v>
      </c>
      <c r="L21" s="16"/>
      <c r="N21" s="38" t="s">
        <v>224</v>
      </c>
    </row>
    <row r="22" customFormat="false" ht="15" hidden="false" customHeight="true" outlineLevel="0" collapsed="false">
      <c r="B22" s="66" t="s">
        <v>208</v>
      </c>
      <c r="C22" s="14" t="s">
        <v>1053</v>
      </c>
      <c r="D22" s="102" t="s">
        <v>560</v>
      </c>
      <c r="E22" s="69" t="s">
        <v>506</v>
      </c>
      <c r="F22" s="70" t="n">
        <f aca="false">IF($E22="","",IFERROR(LOOKUP(VALUE(LEFT($E22&amp;"",FIND("-",$E22&amp;"-")-1)),$C$34:$C$39,$D$34:$D$39),""))</f>
        <v>0</v>
      </c>
      <c r="G22" s="146" t="s">
        <v>117</v>
      </c>
      <c r="H22" s="70" t="n">
        <f aca="false">IF($G22="VOID",0,$F22)</f>
        <v>0</v>
      </c>
      <c r="I22" s="71" t="n">
        <v>0</v>
      </c>
      <c r="J22" s="72" t="str">
        <f aca="false">IF($I22="","n/a",IF($H22=$I22,"ok","MISMATCH"))</f>
        <v>ok</v>
      </c>
      <c r="K22" s="144" t="n">
        <v>15000</v>
      </c>
      <c r="L22" s="16"/>
      <c r="N22" s="38" t="s">
        <v>208</v>
      </c>
    </row>
    <row r="23" customFormat="false" ht="15" hidden="false" customHeight="true" outlineLevel="0" collapsed="false">
      <c r="B23" s="66" t="s">
        <v>171</v>
      </c>
      <c r="C23" s="14" t="s">
        <v>1050</v>
      </c>
      <c r="D23" s="102" t="s">
        <v>560</v>
      </c>
      <c r="E23" s="69" t="s">
        <v>514</v>
      </c>
      <c r="F23" s="70" t="n">
        <f aca="false">IF($E23="","",IFERROR(LOOKUP(VALUE(LEFT($E23&amp;"",FIND("-",$E23&amp;"-")-1)),$C$34:$C$39,$D$34:$D$39),""))</f>
        <v>0</v>
      </c>
      <c r="G23" s="146" t="s">
        <v>117</v>
      </c>
      <c r="H23" s="70" t="n">
        <f aca="false">IF($G23="VOID",0,$F23)</f>
        <v>0</v>
      </c>
      <c r="I23" s="71" t="n">
        <v>0</v>
      </c>
      <c r="J23" s="72" t="str">
        <f aca="false">IF($I23="","n/a",IF($H23=$I23,"ok","MISMATCH"))</f>
        <v>ok</v>
      </c>
      <c r="K23" s="144" t="n">
        <v>10000</v>
      </c>
      <c r="L23" s="16" t="s">
        <v>746</v>
      </c>
      <c r="N23" s="38" t="s">
        <v>171</v>
      </c>
    </row>
    <row r="24" customFormat="false" ht="15" hidden="false" customHeight="true" outlineLevel="0" collapsed="false">
      <c r="B24" s="66" t="s">
        <v>119</v>
      </c>
      <c r="C24" s="14" t="s">
        <v>1050</v>
      </c>
      <c r="D24" s="102" t="s">
        <v>560</v>
      </c>
      <c r="E24" s="69" t="s">
        <v>514</v>
      </c>
      <c r="F24" s="70" t="n">
        <f aca="false">IF($E24="","",IFERROR(LOOKUP(VALUE(LEFT($E24&amp;"",FIND("-",$E24&amp;"-")-1)),$C$34:$C$39,$D$34:$D$39),""))</f>
        <v>0</v>
      </c>
      <c r="G24" s="146" t="s">
        <v>117</v>
      </c>
      <c r="H24" s="70" t="n">
        <f aca="false">IF($G24="VOID",0,$F24)</f>
        <v>0</v>
      </c>
      <c r="I24" s="71" t="n">
        <v>0</v>
      </c>
      <c r="J24" s="72" t="str">
        <f aca="false">IF($I24="","n/a",IF($H24=$I24,"ok","MISMATCH"))</f>
        <v>ok</v>
      </c>
      <c r="K24" s="144" t="n">
        <v>10000</v>
      </c>
      <c r="L24" s="16"/>
      <c r="N24" s="38" t="s">
        <v>119</v>
      </c>
    </row>
    <row r="25" customFormat="false" ht="15" hidden="false" customHeight="true" outlineLevel="0" collapsed="false">
      <c r="B25" s="66" t="s">
        <v>189</v>
      </c>
      <c r="C25" s="14" t="s">
        <v>1045</v>
      </c>
      <c r="D25" s="99" t="s">
        <v>558</v>
      </c>
      <c r="E25" s="69" t="s">
        <v>514</v>
      </c>
      <c r="F25" s="70" t="n">
        <f aca="false">IF($E25="","",IFERROR(LOOKUP(VALUE(LEFT($E25&amp;"",FIND("-",$E25&amp;"-")-1)),$C$34:$C$39,$D$34:$D$39),""))</f>
        <v>0</v>
      </c>
      <c r="G25" s="146" t="s">
        <v>117</v>
      </c>
      <c r="H25" s="70" t="n">
        <f aca="false">IF($G25="VOID",0,$F25)</f>
        <v>0</v>
      </c>
      <c r="I25" s="71" t="n">
        <v>0</v>
      </c>
      <c r="J25" s="72" t="str">
        <f aca="false">IF($I25="","n/a",IF($H25=$I25,"ok","MISMATCH"))</f>
        <v>ok</v>
      </c>
      <c r="K25" s="144" t="n">
        <v>10000</v>
      </c>
      <c r="L25" s="16"/>
      <c r="N25" s="38" t="s">
        <v>189</v>
      </c>
    </row>
    <row r="26" customFormat="false" ht="15" hidden="false" customHeight="true" outlineLevel="0" collapsed="false">
      <c r="B26" s="66" t="s">
        <v>145</v>
      </c>
      <c r="C26" s="14" t="s">
        <v>1050</v>
      </c>
      <c r="D26" s="102" t="s">
        <v>560</v>
      </c>
      <c r="E26" s="69" t="s">
        <v>514</v>
      </c>
      <c r="F26" s="70" t="n">
        <f aca="false">IF($E26="","",IFERROR(LOOKUP(VALUE(LEFT($E26&amp;"",FIND("-",$E26&amp;"-")-1)),$C$34:$C$39,$D$34:$D$39),""))</f>
        <v>0</v>
      </c>
      <c r="G26" s="146" t="s">
        <v>117</v>
      </c>
      <c r="H26" s="70" t="n">
        <f aca="false">IF($G26="VOID",0,$F26)</f>
        <v>0</v>
      </c>
      <c r="I26" s="71" t="n">
        <v>0</v>
      </c>
      <c r="J26" s="72" t="str">
        <f aca="false">IF($I26="","n/a",IF($H26=$I26,"ok","MISMATCH"))</f>
        <v>ok</v>
      </c>
      <c r="K26" s="144" t="n">
        <v>10000</v>
      </c>
      <c r="L26" s="16"/>
      <c r="N26" s="38" t="s">
        <v>145</v>
      </c>
    </row>
    <row r="28" customFormat="false" ht="15" hidden="false" customHeight="true" outlineLevel="0" collapsed="false">
      <c r="B28" s="11" t="s">
        <v>459</v>
      </c>
      <c r="H28" s="77" t="n">
        <f aca="false">SUM(H11:H26)</f>
        <v>3150</v>
      </c>
    </row>
    <row r="29" customFormat="false" ht="15" hidden="false" customHeight="true" outlineLevel="0" collapsed="false">
      <c r="B29" s="18" t="s">
        <v>1054</v>
      </c>
    </row>
    <row r="32" customFormat="false" ht="15" hidden="false" customHeight="true" outlineLevel="0" collapsed="false">
      <c r="B32" s="11" t="s">
        <v>461</v>
      </c>
    </row>
    <row r="33" customFormat="false" ht="15" hidden="false" customHeight="true" outlineLevel="0" collapsed="false">
      <c r="B33" s="4" t="s">
        <v>463</v>
      </c>
      <c r="C33" s="4" t="s">
        <v>464</v>
      </c>
      <c r="D33" s="4" t="s">
        <v>465</v>
      </c>
    </row>
    <row r="34" customFormat="false" ht="15" hidden="false" customHeight="true" outlineLevel="0" collapsed="false">
      <c r="C34" s="13" t="n">
        <v>1</v>
      </c>
      <c r="D34" s="79" t="n">
        <v>1000</v>
      </c>
      <c r="E34" s="80" t="s">
        <v>466</v>
      </c>
    </row>
    <row r="35" customFormat="false" ht="15" hidden="false" customHeight="true" outlineLevel="0" collapsed="false">
      <c r="C35" s="13" t="n">
        <v>2</v>
      </c>
      <c r="D35" s="79" t="n">
        <v>750</v>
      </c>
      <c r="E35" s="80" t="s">
        <v>467</v>
      </c>
    </row>
    <row r="36" customFormat="false" ht="15" hidden="false" customHeight="true" outlineLevel="0" collapsed="false">
      <c r="C36" s="13" t="n">
        <v>3</v>
      </c>
      <c r="D36" s="79" t="n">
        <v>500</v>
      </c>
      <c r="E36" s="80" t="s">
        <v>468</v>
      </c>
    </row>
    <row r="37" customFormat="false" ht="15" hidden="false" customHeight="true" outlineLevel="0" collapsed="false">
      <c r="C37" s="13" t="n">
        <v>4</v>
      </c>
      <c r="D37" s="79" t="n">
        <v>300</v>
      </c>
      <c r="E37" s="80" t="s">
        <v>469</v>
      </c>
    </row>
    <row r="38" customFormat="false" ht="15" hidden="false" customHeight="true" outlineLevel="0" collapsed="false">
      <c r="C38" s="13" t="n">
        <v>5</v>
      </c>
      <c r="D38" s="79" t="n">
        <v>200</v>
      </c>
      <c r="E38" s="80" t="s">
        <v>537</v>
      </c>
    </row>
    <row r="39" customFormat="false" ht="15" hidden="false" customHeight="true" outlineLevel="0" collapsed="false">
      <c r="C39" s="13" t="n">
        <v>9</v>
      </c>
      <c r="D39" s="79" t="n">
        <v>0</v>
      </c>
      <c r="E39" s="80" t="s">
        <v>1055</v>
      </c>
    </row>
    <row r="42" customFormat="false" ht="15" hidden="false" customHeight="true" outlineLevel="0" collapsed="false">
      <c r="B42" s="11" t="s">
        <v>1056</v>
      </c>
    </row>
    <row r="43" customFormat="false" ht="15" hidden="false" customHeight="true" outlineLevel="0" collapsed="false">
      <c r="B43" s="3" t="s">
        <v>1057</v>
      </c>
      <c r="C43" s="3"/>
      <c r="D43" s="3"/>
      <c r="E43" s="3"/>
      <c r="F43" s="3"/>
      <c r="G43" s="3"/>
      <c r="H43" s="3"/>
      <c r="I43" s="3"/>
      <c r="J43" s="3"/>
    </row>
    <row r="44" customFormat="false" ht="15" hidden="false" customHeight="true" outlineLevel="0" collapsed="false">
      <c r="B44" s="3"/>
      <c r="C44" s="3"/>
      <c r="D44" s="3"/>
      <c r="E44" s="3"/>
      <c r="F44" s="3"/>
      <c r="G44" s="3"/>
      <c r="H44" s="3"/>
      <c r="I44" s="3"/>
      <c r="J44" s="3"/>
    </row>
    <row r="45" customFormat="false" ht="15" hidden="false" customHeight="true" outlineLevel="0" collapsed="false">
      <c r="B45" s="3"/>
      <c r="C45" s="3"/>
      <c r="D45" s="3"/>
      <c r="E45" s="3"/>
      <c r="F45" s="3"/>
      <c r="G45" s="3"/>
      <c r="H45" s="3"/>
      <c r="I45" s="3"/>
      <c r="J45" s="3"/>
    </row>
    <row r="46" customFormat="false" ht="15" hidden="false" customHeight="true" outlineLevel="0" collapsed="false">
      <c r="B46" s="3"/>
      <c r="C46" s="3"/>
      <c r="D46" s="3"/>
      <c r="E46" s="3"/>
      <c r="F46" s="3"/>
      <c r="G46" s="3"/>
      <c r="H46" s="3"/>
      <c r="I46" s="3"/>
      <c r="J46" s="3"/>
    </row>
    <row r="47" customFormat="false" ht="15" hidden="false" customHeight="true" outlineLevel="0" collapsed="false">
      <c r="B47" s="3"/>
      <c r="C47" s="3"/>
      <c r="D47" s="3"/>
      <c r="E47" s="3"/>
      <c r="F47" s="3"/>
      <c r="G47" s="3"/>
      <c r="H47" s="3"/>
      <c r="I47" s="3"/>
      <c r="J47" s="3"/>
    </row>
    <row r="48" customFormat="false" ht="15" hidden="false" customHeight="true" outlineLevel="0" collapsed="false">
      <c r="B48" s="3"/>
      <c r="C48" s="3"/>
      <c r="D48" s="3"/>
      <c r="E48" s="3"/>
      <c r="F48" s="3"/>
      <c r="G48" s="3"/>
      <c r="H48" s="3"/>
      <c r="I48" s="3"/>
      <c r="J48" s="3"/>
    </row>
    <row r="49" customFormat="false" ht="15" hidden="false" customHeight="true" outlineLevel="0" collapsed="false">
      <c r="B49" s="3"/>
      <c r="C49" s="3"/>
      <c r="D49" s="3"/>
      <c r="E49" s="3"/>
      <c r="F49" s="3"/>
      <c r="G49" s="3"/>
      <c r="H49" s="3"/>
      <c r="I49" s="3"/>
      <c r="J49" s="3"/>
    </row>
    <row r="51" customFormat="false" ht="23.25" hidden="false" customHeight="true" outlineLevel="0" collapsed="false">
      <c r="B51" s="4" t="s">
        <v>555</v>
      </c>
      <c r="C51" s="4" t="s">
        <v>1058</v>
      </c>
      <c r="D51" s="4" t="s">
        <v>1059</v>
      </c>
      <c r="E51" s="4" t="s">
        <v>1060</v>
      </c>
      <c r="F51" s="4" t="s">
        <v>1061</v>
      </c>
    </row>
    <row r="52" customFormat="false" ht="15" hidden="false" customHeight="true" outlineLevel="0" collapsed="false">
      <c r="B52" s="81" t="s">
        <v>1045</v>
      </c>
      <c r="C52" s="13" t="n">
        <f aca="false">COUNTIF($C$11:$C$26,$B52)</f>
        <v>5</v>
      </c>
      <c r="D52" s="13" t="n">
        <f aca="false">SUMPRODUCT(($C$11:$C$26=$B52)*($F$11:$F$26&gt;0))</f>
        <v>4</v>
      </c>
      <c r="E52" s="149" t="n">
        <f aca="false">IF(C52=0,"",D52/C52)</f>
        <v>0.8</v>
      </c>
      <c r="F52" s="130" t="n">
        <f aca="false">IFERROR(SUMPRODUCT(MAX(($C$11:$C$26=$B52)*$H$11:$H$26)),0)</f>
        <v>1000</v>
      </c>
    </row>
    <row r="53" customFormat="false" ht="15" hidden="false" customHeight="true" outlineLevel="0" collapsed="false">
      <c r="B53" s="81" t="s">
        <v>1047</v>
      </c>
      <c r="C53" s="13" t="n">
        <f aca="false">COUNTIF($C$11:$C$26,$B53)</f>
        <v>2</v>
      </c>
      <c r="D53" s="13" t="n">
        <f aca="false">SUMPRODUCT(($C$11:$C$26=$B53)*($F$11:$F$26&gt;0))</f>
        <v>1</v>
      </c>
      <c r="E53" s="149" t="n">
        <f aca="false">IF(C53=0,"",D53/C53)</f>
        <v>0.5</v>
      </c>
      <c r="F53" s="130" t="n">
        <f aca="false">IFERROR(SUMPRODUCT(MAX(($C$11:$C$26=$B53)*$H$11:$H$26)),0)</f>
        <v>0</v>
      </c>
    </row>
    <row r="54" customFormat="false" ht="15" hidden="false" customHeight="true" outlineLevel="0" collapsed="false">
      <c r="B54" s="81" t="s">
        <v>1053</v>
      </c>
      <c r="C54" s="13" t="n">
        <f aca="false">COUNTIF($C$11:$C$26,$B54)</f>
        <v>1</v>
      </c>
      <c r="D54" s="13" t="n">
        <f aca="false">SUMPRODUCT(($C$11:$C$26=$B54)*($F$11:$F$26&gt;0))</f>
        <v>0</v>
      </c>
      <c r="E54" s="149" t="n">
        <f aca="false">IF(C54=0,"",D54/C54)</f>
        <v>0</v>
      </c>
      <c r="F54" s="130" t="n">
        <f aca="false">IFERROR(SUMPRODUCT(MAX(($C$11:$C$26=$B54)*$H$11:$H$26)),0)</f>
        <v>0</v>
      </c>
    </row>
    <row r="55" customFormat="false" ht="15" hidden="false" customHeight="true" outlineLevel="0" collapsed="false">
      <c r="B55" s="81" t="s">
        <v>1046</v>
      </c>
      <c r="C55" s="13" t="n">
        <f aca="false">COUNTIF($C$11:$C$26,$B55)</f>
        <v>1</v>
      </c>
      <c r="D55" s="13" t="n">
        <f aca="false">SUMPRODUCT(($C$11:$C$26=$B55)*($F$11:$F$26&gt;0))</f>
        <v>1</v>
      </c>
      <c r="E55" s="149" t="n">
        <f aca="false">IF(C55=0,"",D55/C55)</f>
        <v>1</v>
      </c>
      <c r="F55" s="130" t="n">
        <f aca="false">IFERROR(SUMPRODUCT(MAX(($C$11:$C$26=$B55)*$H$11:$H$26)),0)</f>
        <v>300</v>
      </c>
    </row>
    <row r="56" customFormat="false" ht="15" hidden="false" customHeight="true" outlineLevel="0" collapsed="false">
      <c r="B56" s="81" t="s">
        <v>1052</v>
      </c>
      <c r="C56" s="13" t="n">
        <f aca="false">COUNTIF($C$11:$C$26,$B56)</f>
        <v>1</v>
      </c>
      <c r="D56" s="13" t="n">
        <f aca="false">SUMPRODUCT(($C$11:$C$26=$B56)*($F$11:$F$26&gt;0))</f>
        <v>1</v>
      </c>
      <c r="E56" s="149" t="n">
        <f aca="false">IF(C56=0,"",D56/C56)</f>
        <v>1</v>
      </c>
      <c r="F56" s="130" t="n">
        <f aca="false">IFERROR(SUMPRODUCT(MAX(($C$11:$C$26=$B56)*$H$11:$H$26)),0)</f>
        <v>200</v>
      </c>
    </row>
    <row r="57" customFormat="false" ht="15" hidden="false" customHeight="true" outlineLevel="0" collapsed="false">
      <c r="B57" s="81" t="s">
        <v>1050</v>
      </c>
      <c r="C57" s="13" t="n">
        <f aca="false">COUNTIF($C$11:$C$26,$B57)</f>
        <v>6</v>
      </c>
      <c r="D57" s="13" t="n">
        <f aca="false">SUMPRODUCT(($C$11:$C$26=$B57)*($F$11:$F$26&gt;0))</f>
        <v>1</v>
      </c>
      <c r="E57" s="149" t="n">
        <f aca="false">IF(C57=0,"",D57/C57)</f>
        <v>0.166666666666667</v>
      </c>
      <c r="F57" s="130" t="n">
        <f aca="false">IFERROR(SUMPRODUCT(MAX(($C$11:$C$26=$B57)*$H$11:$H$26)),0)</f>
        <v>200</v>
      </c>
    </row>
    <row r="59" customFormat="false" ht="15" hidden="false" customHeight="true" outlineLevel="0" collapsed="false">
      <c r="B59" s="18" t="s">
        <v>1062</v>
      </c>
    </row>
    <row r="61" customFormat="false" ht="23.25" hidden="false" customHeight="true" outlineLevel="0" collapsed="false">
      <c r="B61" s="4" t="s">
        <v>556</v>
      </c>
      <c r="C61" s="4" t="s">
        <v>1063</v>
      </c>
      <c r="D61" s="4" t="s">
        <v>760</v>
      </c>
      <c r="E61" s="4" t="s">
        <v>761</v>
      </c>
      <c r="F61" s="4" t="s">
        <v>762</v>
      </c>
      <c r="G61" s="4" t="s">
        <v>763</v>
      </c>
    </row>
    <row r="62" customFormat="false" ht="15" hidden="false" customHeight="true" outlineLevel="0" collapsed="false">
      <c r="B62" s="110" t="s">
        <v>558</v>
      </c>
      <c r="C62" s="13" t="n">
        <f aca="false">COUNTIF($D$11:$D$26,$B62)</f>
        <v>7</v>
      </c>
      <c r="D62" s="13" t="n">
        <f aca="false">1</f>
        <v>1</v>
      </c>
      <c r="E62" s="13" t="n">
        <f aca="false">D62+C62-1</f>
        <v>7</v>
      </c>
      <c r="F62" s="111" t="n">
        <f aca="false">IF(C62=0,"",(D62+E62)/2)</f>
        <v>4</v>
      </c>
      <c r="G62" s="112" t="n">
        <f aca="false">IF(C62=0,"",(E62-D62+1)/SQRT(12))</f>
        <v>2.02072594216369</v>
      </c>
    </row>
    <row r="63" customFormat="false" ht="15" hidden="false" customHeight="true" outlineLevel="0" collapsed="false">
      <c r="B63" s="113" t="s">
        <v>560</v>
      </c>
      <c r="C63" s="13" t="n">
        <f aca="false">COUNTIF($D$11:$D$26,$B63)</f>
        <v>9</v>
      </c>
      <c r="D63" s="13" t="n">
        <f aca="false">E62+1</f>
        <v>8</v>
      </c>
      <c r="E63" s="13" t="n">
        <f aca="false">D63+C63-1</f>
        <v>16</v>
      </c>
      <c r="F63" s="111" t="n">
        <f aca="false">IF(C63=0,"",(D63+E63)/2)</f>
        <v>12</v>
      </c>
      <c r="G63" s="112" t="n">
        <f aca="false">IF(C63=0,"",(E63-D63+1)/SQRT(12))</f>
        <v>2.59807621135332</v>
      </c>
    </row>
    <row r="64" customFormat="false" ht="15" hidden="false" customHeight="true" outlineLevel="0" collapsed="false">
      <c r="B64" s="114" t="s">
        <v>565</v>
      </c>
      <c r="C64" s="13" t="n">
        <f aca="false">COUNTIF($D$11:$D$26,$B64)</f>
        <v>0</v>
      </c>
      <c r="D64" s="13" t="n">
        <f aca="false">E63+1</f>
        <v>17</v>
      </c>
      <c r="E64" s="13" t="n">
        <f aca="false">D64+C64-1</f>
        <v>16</v>
      </c>
      <c r="F64" s="111" t="str">
        <f aca="false">IF(C64=0,"",(D64+E64)/2)</f>
        <v/>
      </c>
      <c r="G64" s="112" t="str">
        <f aca="false">IF(C64=0,"",(E64-D64+1)/SQRT(12))</f>
        <v/>
      </c>
    </row>
  </sheetData>
  <sheetProtection sheet="true" formatCells="false" selectLockedCells="true" selectUnlockedCells="true"/>
  <mergeCells count="1">
    <mergeCell ref="B43:J49"/>
  </mergeCells>
  <dataValidations count="3">
    <dataValidation allowBlank="true" error="Pick a placement from the list." errorStyle="stop" errorTitle="Use the dropdown" operator="between" showDropDown="false" showErrorMessage="false" showInputMessage="false" sqref="E11:E26" type="list">
      <formula1>"1,2,3,4,5-8,9-12,13-16"</formula1>
      <formula2>0</formula2>
    </dataValidation>
    <dataValidation allowBlank="true" error="High, Medium or Low." errorStyle="stop" errorTitle="Use the dropdown" operator="between" showDropDown="false" showErrorMessage="false" showInputMessage="false" sqref="D11:D26" type="list">
      <formula1>"High,Medium,Low"</formula1>
      <formula2>0</formula2>
    </dataValidation>
    <dataValidation allowBlank="true" errorStyle="stop" operator="between" showDropDown="false" showErrorMessage="false" showInputMessage="false" sqref="C11:C26" type="list">
      <formula1>"CN,KR,JP,TW,IN,SEA,EMEA,AMER"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P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0" topLeftCell="D11" activePane="bottomRight" state="frozen"/>
      <selection pane="topLeft" activeCell="A1" activeCellId="0" sqref="A1"/>
      <selection pane="topRight" activeCell="D1" activeCellId="0" sqref="D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13"/>
    <col collapsed="false" customWidth="true" hidden="false" outlineLevel="0" max="4" min="4" style="1" width="7"/>
    <col collapsed="false" customWidth="true" hidden="false" outlineLevel="0" max="5" min="5" style="1" width="8"/>
    <col collapsed="false" customWidth="true" hidden="false" outlineLevel="0" max="6" min="6" style="1" width="9"/>
    <col collapsed="false" customWidth="true" hidden="false" outlineLevel="0" max="7" min="7" style="1" width="10"/>
    <col collapsed="false" customWidth="true" hidden="false" outlineLevel="0" max="10" min="8" style="1" width="11"/>
    <col collapsed="false" customWidth="true" hidden="false" outlineLevel="0" max="11" min="11" style="1" width="14"/>
    <col collapsed="false" customWidth="true" hidden="false" outlineLevel="0" max="12" min="12" style="1" width="10"/>
    <col collapsed="false" customWidth="true" hidden="false" outlineLevel="0" max="13" min="13" style="1" width="11"/>
    <col collapsed="false" customWidth="true" hidden="false" outlineLevel="0" max="14" min="14" style="1" width="36"/>
  </cols>
  <sheetData>
    <row r="2" customFormat="false" ht="18" hidden="false" customHeight="true" outlineLevel="0" collapsed="false">
      <c r="B2" s="2" t="s">
        <v>1064</v>
      </c>
    </row>
    <row r="3" customFormat="false" ht="15" hidden="false" customHeight="true" outlineLevel="0" collapsed="false">
      <c r="B3" s="18" t="s">
        <v>1065</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1066</v>
      </c>
      <c r="D6" s="28" t="s">
        <v>1067</v>
      </c>
      <c r="F6" s="28" t="s">
        <v>1068</v>
      </c>
      <c r="H6" s="28" t="s">
        <v>841</v>
      </c>
      <c r="J6" s="28" t="s">
        <v>1069</v>
      </c>
      <c r="L6" s="28" t="s">
        <v>1070</v>
      </c>
    </row>
    <row r="8" customFormat="false" ht="15" hidden="false" customHeight="true" outlineLevel="0" collapsed="false">
      <c r="B8" s="11" t="s">
        <v>416</v>
      </c>
    </row>
    <row r="9" customFormat="false" ht="15" hidden="false" customHeight="true" outlineLevel="0" collapsed="false">
      <c r="B9" s="18" t="s">
        <v>1071</v>
      </c>
    </row>
    <row r="10" customFormat="false" ht="34.5" hidden="false" customHeight="true" outlineLevel="0" collapsed="false">
      <c r="B10" s="4" t="s">
        <v>418</v>
      </c>
      <c r="C10" s="4" t="s">
        <v>555</v>
      </c>
      <c r="D10" s="4" t="s">
        <v>541</v>
      </c>
      <c r="E10" s="4" t="s">
        <v>1072</v>
      </c>
      <c r="F10" s="4" t="s">
        <v>1073</v>
      </c>
      <c r="G10" s="4" t="s">
        <v>421</v>
      </c>
      <c r="H10" s="4" t="s">
        <v>422</v>
      </c>
      <c r="I10" s="4" t="s">
        <v>1043</v>
      </c>
      <c r="J10" s="4" t="s">
        <v>1044</v>
      </c>
      <c r="K10" s="4" t="s">
        <v>423</v>
      </c>
      <c r="L10" s="4" t="s">
        <v>424</v>
      </c>
      <c r="M10" s="4" t="s">
        <v>425</v>
      </c>
      <c r="N10" s="4" t="s">
        <v>41</v>
      </c>
      <c r="P10" s="4" t="s">
        <v>426</v>
      </c>
    </row>
    <row r="11" customFormat="false" ht="15" hidden="false" customHeight="true" outlineLevel="0" collapsed="false">
      <c r="B11" s="29" t="s">
        <v>281</v>
      </c>
      <c r="C11" s="14" t="s">
        <v>1074</v>
      </c>
      <c r="D11" s="32" t="n">
        <v>2</v>
      </c>
      <c r="E11" s="31" t="n">
        <v>1</v>
      </c>
      <c r="F11" s="34" t="n">
        <v>1610</v>
      </c>
      <c r="G11" s="32" t="s">
        <v>427</v>
      </c>
      <c r="H11" s="33" t="n">
        <f aca="false">IF($G11="","",IFERROR(LOOKUP(VALUE(LEFT($G11&amp;"",FIND("-",$G11&amp;"-")-1)),$C$40:$C$45,$D$40:$D$45),""))</f>
        <v>1000</v>
      </c>
      <c r="I11" s="146" t="s">
        <v>117</v>
      </c>
      <c r="J11" s="33" t="n">
        <f aca="false">IF($I11="VOID",0,$H11)</f>
        <v>1000</v>
      </c>
      <c r="K11" s="34" t="n">
        <v>1000</v>
      </c>
      <c r="L11" s="35" t="str">
        <f aca="false">IF($K11="","n/a",IF($J11=$K11,"ok","MISMATCH"))</f>
        <v>ok</v>
      </c>
      <c r="M11" s="137" t="n">
        <v>750000</v>
      </c>
      <c r="N11" s="85"/>
      <c r="P11" s="38" t="s">
        <v>281</v>
      </c>
    </row>
    <row r="12" customFormat="false" ht="15" hidden="false" customHeight="true" outlineLevel="0" collapsed="false">
      <c r="B12" s="39" t="s">
        <v>181</v>
      </c>
      <c r="C12" s="14" t="s">
        <v>1074</v>
      </c>
      <c r="D12" s="42" t="n">
        <v>12</v>
      </c>
      <c r="E12" s="41" t="n">
        <v>15</v>
      </c>
      <c r="F12" s="44" t="n">
        <v>890</v>
      </c>
      <c r="G12" s="42" t="s">
        <v>428</v>
      </c>
      <c r="H12" s="43" t="n">
        <f aca="false">IF($G12="","",IFERROR(LOOKUP(VALUE(LEFT($G12&amp;"",FIND("-",$G12&amp;"-")-1)),$C$40:$C$45,$D$40:$D$45),""))</f>
        <v>750</v>
      </c>
      <c r="I12" s="146" t="s">
        <v>117</v>
      </c>
      <c r="J12" s="43" t="n">
        <f aca="false">IF($I12="VOID",0,$H12)</f>
        <v>750</v>
      </c>
      <c r="K12" s="44" t="n">
        <v>750</v>
      </c>
      <c r="L12" s="45" t="str">
        <f aca="false">IF($K12="","n/a",IF($J12=$K12,"ok","MISMATCH"))</f>
        <v>ok</v>
      </c>
      <c r="M12" s="139" t="n">
        <v>350000</v>
      </c>
      <c r="N12" s="133" t="s">
        <v>1075</v>
      </c>
      <c r="P12" s="38" t="s">
        <v>181</v>
      </c>
    </row>
    <row r="13" customFormat="false" ht="15" hidden="false" customHeight="true" outlineLevel="0" collapsed="false">
      <c r="B13" s="48" t="s">
        <v>1076</v>
      </c>
      <c r="C13" s="14" t="s">
        <v>1077</v>
      </c>
      <c r="D13" s="51" t="n">
        <v>1</v>
      </c>
      <c r="E13" s="50" t="n">
        <v>2</v>
      </c>
      <c r="F13" s="53" t="n">
        <v>1890</v>
      </c>
      <c r="G13" s="51" t="s">
        <v>430</v>
      </c>
      <c r="H13" s="52" t="n">
        <f aca="false">IF($G13="","",IFERROR(LOOKUP(VALUE(LEFT($G13&amp;"",FIND("-",$G13&amp;"-")-1)),$C$40:$C$45,$D$40:$D$45),""))</f>
        <v>500</v>
      </c>
      <c r="I13" s="146" t="s">
        <v>117</v>
      </c>
      <c r="J13" s="52" t="n">
        <f aca="false">IF($I13="VOID",0,$H13)</f>
        <v>500</v>
      </c>
      <c r="K13" s="53"/>
      <c r="L13" s="54" t="str">
        <f aca="false">IF($K13="","n/a",IF($J13=$K13,"ok","MISMATCH"))</f>
        <v>n/a</v>
      </c>
      <c r="M13" s="140" t="n">
        <v>200000</v>
      </c>
      <c r="N13" s="89"/>
      <c r="P13" s="76" t="s">
        <v>1078</v>
      </c>
    </row>
    <row r="14" customFormat="false" ht="15" hidden="false" customHeight="true" outlineLevel="0" collapsed="false">
      <c r="B14" s="57" t="s">
        <v>163</v>
      </c>
      <c r="C14" s="14" t="s">
        <v>1079</v>
      </c>
      <c r="D14" s="60" t="n">
        <v>18</v>
      </c>
      <c r="E14" s="59" t="n">
        <v>33</v>
      </c>
      <c r="F14" s="62" t="n">
        <v>270</v>
      </c>
      <c r="G14" s="60" t="s">
        <v>431</v>
      </c>
      <c r="H14" s="61" t="n">
        <f aca="false">IF($G14="","",IFERROR(LOOKUP(VALUE(LEFT($G14&amp;"",FIND("-",$G14&amp;"-")-1)),$C$40:$C$45,$D$40:$D$45),""))</f>
        <v>300</v>
      </c>
      <c r="I14" s="147" t="s">
        <v>1048</v>
      </c>
      <c r="J14" s="61" t="n">
        <f aca="false">IF($I14="VOID",0,$H14)</f>
        <v>0</v>
      </c>
      <c r="K14" s="62"/>
      <c r="L14" s="63" t="str">
        <f aca="false">IF($K14="","n/a",IF($J14=$K14,"ok","MISMATCH"))</f>
        <v>n/a</v>
      </c>
      <c r="M14" s="142" t="n">
        <v>115000</v>
      </c>
      <c r="N14" s="148" t="s">
        <v>1080</v>
      </c>
      <c r="P14" s="38" t="s">
        <v>163</v>
      </c>
    </row>
    <row r="15" customFormat="false" ht="15" hidden="false" customHeight="true" outlineLevel="0" collapsed="false">
      <c r="B15" s="57" t="s">
        <v>336</v>
      </c>
      <c r="C15" s="14" t="s">
        <v>1077</v>
      </c>
      <c r="D15" s="60" t="n">
        <v>5</v>
      </c>
      <c r="E15" s="59" t="n">
        <v>5</v>
      </c>
      <c r="F15" s="62" t="n">
        <v>1495</v>
      </c>
      <c r="G15" s="60" t="s">
        <v>432</v>
      </c>
      <c r="H15" s="61" t="n">
        <f aca="false">IF($G15="","",IFERROR(LOOKUP(VALUE(LEFT($G15&amp;"",FIND("-",$G15&amp;"-")-1)),$C$40:$C$45,$D$40:$D$45),""))</f>
        <v>200</v>
      </c>
      <c r="I15" s="146" t="s">
        <v>117</v>
      </c>
      <c r="J15" s="61" t="n">
        <f aca="false">IF($I15="VOID",0,$H15)</f>
        <v>200</v>
      </c>
      <c r="K15" s="62" t="n">
        <v>200</v>
      </c>
      <c r="L15" s="63" t="str">
        <f aca="false">IF($K15="","n/a",IF($J15=$K15,"ok","MISMATCH"))</f>
        <v>ok</v>
      </c>
      <c r="M15" s="142" t="n">
        <v>60000</v>
      </c>
      <c r="N15" s="91"/>
      <c r="P15" s="38" t="s">
        <v>336</v>
      </c>
    </row>
    <row r="16" customFormat="false" ht="15" hidden="false" customHeight="true" outlineLevel="0" collapsed="false">
      <c r="B16" s="57" t="s">
        <v>150</v>
      </c>
      <c r="C16" s="14" t="s">
        <v>1081</v>
      </c>
      <c r="D16" s="60" t="n">
        <v>7</v>
      </c>
      <c r="E16" s="59" t="n">
        <v>8</v>
      </c>
      <c r="F16" s="62" t="n">
        <v>1310</v>
      </c>
      <c r="G16" s="60" t="s">
        <v>432</v>
      </c>
      <c r="H16" s="61" t="n">
        <f aca="false">IF($G16="","",IFERROR(LOOKUP(VALUE(LEFT($G16&amp;"",FIND("-",$G16&amp;"-")-1)),$C$40:$C$45,$D$40:$D$45),""))</f>
        <v>200</v>
      </c>
      <c r="I16" s="146" t="s">
        <v>117</v>
      </c>
      <c r="J16" s="61" t="n">
        <f aca="false">IF($I16="VOID",0,$H16)</f>
        <v>200</v>
      </c>
      <c r="K16" s="62" t="n">
        <v>200</v>
      </c>
      <c r="L16" s="63" t="str">
        <f aca="false">IF($K16="","n/a",IF($J16=$K16,"ok","MISMATCH"))</f>
        <v>ok</v>
      </c>
      <c r="M16" s="142" t="n">
        <v>60000</v>
      </c>
      <c r="N16" s="91"/>
      <c r="P16" s="38" t="s">
        <v>150</v>
      </c>
    </row>
    <row r="17" customFormat="false" ht="15" hidden="false" customHeight="true" outlineLevel="0" collapsed="false">
      <c r="B17" s="57" t="s">
        <v>141</v>
      </c>
      <c r="C17" s="14" t="s">
        <v>1074</v>
      </c>
      <c r="D17" s="60" t="n">
        <v>15</v>
      </c>
      <c r="E17" s="59" t="n">
        <v>26</v>
      </c>
      <c r="F17" s="62" t="n">
        <v>350</v>
      </c>
      <c r="G17" s="60" t="s">
        <v>432</v>
      </c>
      <c r="H17" s="61" t="n">
        <f aca="false">IF($G17="","",IFERROR(LOOKUP(VALUE(LEFT($G17&amp;"",FIND("-",$G17&amp;"-")-1)),$C$40:$C$45,$D$40:$D$45),""))</f>
        <v>200</v>
      </c>
      <c r="I17" s="146" t="s">
        <v>117</v>
      </c>
      <c r="J17" s="61" t="n">
        <f aca="false">IF($I17="VOID",0,$H17)</f>
        <v>200</v>
      </c>
      <c r="K17" s="62" t="n">
        <v>200</v>
      </c>
      <c r="L17" s="63" t="str">
        <f aca="false">IF($K17="","n/a",IF($J17=$K17,"ok","MISMATCH"))</f>
        <v>ok</v>
      </c>
      <c r="M17" s="142" t="n">
        <v>60000</v>
      </c>
      <c r="N17" s="129" t="s">
        <v>1082</v>
      </c>
      <c r="P17" s="38" t="s">
        <v>141</v>
      </c>
    </row>
    <row r="18" customFormat="false" ht="15" hidden="false" customHeight="true" outlineLevel="0" collapsed="false">
      <c r="B18" s="57" t="s">
        <v>567</v>
      </c>
      <c r="C18" s="14" t="s">
        <v>1079</v>
      </c>
      <c r="D18" s="60" t="n">
        <v>20</v>
      </c>
      <c r="E18" s="59" t="n">
        <v>60</v>
      </c>
      <c r="F18" s="62" t="n">
        <v>80</v>
      </c>
      <c r="G18" s="60" t="s">
        <v>432</v>
      </c>
      <c r="H18" s="61" t="n">
        <f aca="false">IF($G18="","",IFERROR(LOOKUP(VALUE(LEFT($G18&amp;"",FIND("-",$G18&amp;"-")-1)),$C$40:$C$45,$D$40:$D$45),""))</f>
        <v>200</v>
      </c>
      <c r="I18" s="146" t="s">
        <v>117</v>
      </c>
      <c r="J18" s="61" t="n">
        <f aca="false">IF($I18="VOID",0,$H18)</f>
        <v>200</v>
      </c>
      <c r="K18" s="62" t="n">
        <v>200</v>
      </c>
      <c r="L18" s="63" t="str">
        <f aca="false">IF($K18="","n/a",IF($J18=$K18,"ok","MISMATCH"))</f>
        <v>ok</v>
      </c>
      <c r="M18" s="142" t="n">
        <v>60000</v>
      </c>
      <c r="N18" s="129" t="s">
        <v>1083</v>
      </c>
      <c r="P18" s="38" t="s">
        <v>567</v>
      </c>
    </row>
    <row r="19" customFormat="false" ht="15" hidden="false" customHeight="true" outlineLevel="0" collapsed="false">
      <c r="B19" s="66" t="s">
        <v>114</v>
      </c>
      <c r="C19" s="14" t="s">
        <v>1079</v>
      </c>
      <c r="D19" s="69" t="n">
        <v>6</v>
      </c>
      <c r="E19" s="68" t="n">
        <v>6</v>
      </c>
      <c r="F19" s="71" t="n">
        <v>1435</v>
      </c>
      <c r="G19" s="69" t="s">
        <v>506</v>
      </c>
      <c r="H19" s="70" t="n">
        <f aca="false">IF($G19="","",IFERROR(LOOKUP(VALUE(LEFT($G19&amp;"",FIND("-",$G19&amp;"-")-1)),$C$40:$C$45,$D$40:$D$45),""))</f>
        <v>0</v>
      </c>
      <c r="I19" s="146" t="s">
        <v>117</v>
      </c>
      <c r="J19" s="70" t="n">
        <f aca="false">IF($I19="VOID",0,$H19)</f>
        <v>0</v>
      </c>
      <c r="K19" s="71" t="n">
        <v>0</v>
      </c>
      <c r="L19" s="72" t="str">
        <f aca="false">IF($K19="","n/a",IF($J19=$K19,"ok","MISMATCH"))</f>
        <v>ok</v>
      </c>
      <c r="M19" s="144" t="n">
        <v>35000</v>
      </c>
      <c r="N19" s="16"/>
      <c r="P19" s="38" t="s">
        <v>114</v>
      </c>
    </row>
    <row r="20" customFormat="false" ht="15" hidden="false" customHeight="true" outlineLevel="0" collapsed="false">
      <c r="B20" s="66" t="s">
        <v>1084</v>
      </c>
      <c r="C20" s="14" t="s">
        <v>1081</v>
      </c>
      <c r="D20" s="69" t="n">
        <v>10</v>
      </c>
      <c r="E20" s="68" t="n">
        <v>12</v>
      </c>
      <c r="F20" s="71" t="n">
        <v>1010</v>
      </c>
      <c r="G20" s="69" t="s">
        <v>506</v>
      </c>
      <c r="H20" s="70" t="n">
        <f aca="false">IF($G20="","",IFERROR(LOOKUP(VALUE(LEFT($G20&amp;"",FIND("-",$G20&amp;"-")-1)),$C$40:$C$45,$D$40:$D$45),""))</f>
        <v>0</v>
      </c>
      <c r="I20" s="146" t="s">
        <v>117</v>
      </c>
      <c r="J20" s="70" t="n">
        <f aca="false">IF($I20="VOID",0,$H20)</f>
        <v>0</v>
      </c>
      <c r="K20" s="71"/>
      <c r="L20" s="72" t="str">
        <f aca="false">IF($K20="","n/a",IF($J20=$K20,"ok","MISMATCH"))</f>
        <v>n/a</v>
      </c>
      <c r="M20" s="144" t="n">
        <v>35000</v>
      </c>
      <c r="N20" s="16"/>
      <c r="P20" s="38" t="s">
        <v>1084</v>
      </c>
    </row>
    <row r="21" customFormat="false" ht="15" hidden="false" customHeight="true" outlineLevel="0" collapsed="false">
      <c r="B21" s="66" t="s">
        <v>171</v>
      </c>
      <c r="C21" s="14" t="s">
        <v>1079</v>
      </c>
      <c r="D21" s="69" t="n">
        <v>19</v>
      </c>
      <c r="E21" s="68" t="n">
        <v>34</v>
      </c>
      <c r="F21" s="71" t="n">
        <v>260</v>
      </c>
      <c r="G21" s="69" t="s">
        <v>506</v>
      </c>
      <c r="H21" s="70" t="n">
        <f aca="false">IF($G21="","",IFERROR(LOOKUP(VALUE(LEFT($G21&amp;"",FIND("-",$G21&amp;"-")-1)),$C$40:$C$45,$D$40:$D$45),""))</f>
        <v>0</v>
      </c>
      <c r="I21" s="146" t="s">
        <v>117</v>
      </c>
      <c r="J21" s="70" t="n">
        <f aca="false">IF($I21="VOID",0,$H21)</f>
        <v>0</v>
      </c>
      <c r="K21" s="71" t="n">
        <v>0</v>
      </c>
      <c r="L21" s="72" t="str">
        <f aca="false">IF($K21="","n/a",IF($J21=$K21,"ok","MISMATCH"))</f>
        <v>ok</v>
      </c>
      <c r="M21" s="144" t="n">
        <v>35000</v>
      </c>
      <c r="N21" s="16" t="s">
        <v>746</v>
      </c>
      <c r="P21" s="38" t="s">
        <v>171</v>
      </c>
    </row>
    <row r="22" customFormat="false" ht="15" hidden="false" customHeight="true" outlineLevel="0" collapsed="false">
      <c r="B22" s="66" t="s">
        <v>123</v>
      </c>
      <c r="C22" s="14" t="s">
        <v>1079</v>
      </c>
      <c r="D22" s="69" t="n">
        <v>8</v>
      </c>
      <c r="E22" s="68" t="n">
        <v>10</v>
      </c>
      <c r="F22" s="71" t="n">
        <v>1125</v>
      </c>
      <c r="G22" s="69" t="s">
        <v>506</v>
      </c>
      <c r="H22" s="70" t="n">
        <f aca="false">IF($G22="","",IFERROR(LOOKUP(VALUE(LEFT($G22&amp;"",FIND("-",$G22&amp;"-")-1)),$C$40:$C$45,$D$40:$D$45),""))</f>
        <v>0</v>
      </c>
      <c r="I22" s="146" t="s">
        <v>117</v>
      </c>
      <c r="J22" s="70" t="n">
        <f aca="false">IF($I22="VOID",0,$H22)</f>
        <v>0</v>
      </c>
      <c r="K22" s="71" t="n">
        <v>0</v>
      </c>
      <c r="L22" s="72" t="str">
        <f aca="false">IF($K22="","n/a",IF($J22=$K22,"ok","MISMATCH"))</f>
        <v>ok</v>
      </c>
      <c r="M22" s="144" t="n">
        <v>35000</v>
      </c>
      <c r="N22" s="16"/>
      <c r="P22" s="38" t="s">
        <v>123</v>
      </c>
    </row>
    <row r="23" customFormat="false" ht="15" hidden="false" customHeight="true" outlineLevel="0" collapsed="false">
      <c r="B23" s="66" t="s">
        <v>127</v>
      </c>
      <c r="C23" s="14" t="s">
        <v>1045</v>
      </c>
      <c r="D23" s="69" t="n">
        <v>9</v>
      </c>
      <c r="E23" s="68" t="n">
        <v>11</v>
      </c>
      <c r="F23" s="71" t="n">
        <v>1040</v>
      </c>
      <c r="G23" s="69" t="s">
        <v>514</v>
      </c>
      <c r="H23" s="70" t="n">
        <f aca="false">IF($G23="","",IFERROR(LOOKUP(VALUE(LEFT($G23&amp;"",FIND("-",$G23&amp;"-")-1)),$C$40:$C$45,$D$40:$D$45),""))</f>
        <v>0</v>
      </c>
      <c r="I23" s="146" t="s">
        <v>117</v>
      </c>
      <c r="J23" s="70" t="n">
        <f aca="false">IF($I23="VOID",0,$H23)</f>
        <v>0</v>
      </c>
      <c r="K23" s="71" t="n">
        <v>0</v>
      </c>
      <c r="L23" s="72" t="str">
        <f aca="false">IF($K23="","n/a",IF($J23=$K23,"ok","MISMATCH"))</f>
        <v>ok</v>
      </c>
      <c r="M23" s="144" t="n">
        <v>25000</v>
      </c>
      <c r="N23" s="16"/>
      <c r="P23" s="38" t="s">
        <v>127</v>
      </c>
    </row>
    <row r="24" customFormat="false" ht="15" hidden="false" customHeight="true" outlineLevel="0" collapsed="false">
      <c r="B24" s="66" t="s">
        <v>292</v>
      </c>
      <c r="C24" s="14" t="s">
        <v>1077</v>
      </c>
      <c r="D24" s="69" t="n">
        <v>14</v>
      </c>
      <c r="E24" s="68" t="n">
        <v>25</v>
      </c>
      <c r="F24" s="71" t="n">
        <v>360</v>
      </c>
      <c r="G24" s="69" t="s">
        <v>514</v>
      </c>
      <c r="H24" s="70" t="n">
        <f aca="false">IF($G24="","",IFERROR(LOOKUP(VALUE(LEFT($G24&amp;"",FIND("-",$G24&amp;"-")-1)),$C$40:$C$45,$D$40:$D$45),""))</f>
        <v>0</v>
      </c>
      <c r="I24" s="146" t="s">
        <v>117</v>
      </c>
      <c r="J24" s="70" t="n">
        <f aca="false">IF($I24="VOID",0,$H24)</f>
        <v>0</v>
      </c>
      <c r="K24" s="71"/>
      <c r="L24" s="72" t="str">
        <f aca="false">IF($K24="","n/a",IF($J24=$K24,"ok","MISMATCH"))</f>
        <v>n/a</v>
      </c>
      <c r="M24" s="144" t="n">
        <v>25000</v>
      </c>
      <c r="N24" s="16"/>
      <c r="P24" s="38" t="s">
        <v>292</v>
      </c>
    </row>
    <row r="25" customFormat="false" ht="15" hidden="false" customHeight="true" outlineLevel="0" collapsed="false">
      <c r="B25" s="66" t="s">
        <v>200</v>
      </c>
      <c r="C25" s="14" t="s">
        <v>1045</v>
      </c>
      <c r="D25" s="69" t="n">
        <v>11</v>
      </c>
      <c r="E25" s="68" t="n">
        <v>14</v>
      </c>
      <c r="F25" s="71" t="n">
        <v>895</v>
      </c>
      <c r="G25" s="69" t="s">
        <v>514</v>
      </c>
      <c r="H25" s="70" t="n">
        <f aca="false">IF($G25="","",IFERROR(LOOKUP(VALUE(LEFT($G25&amp;"",FIND("-",$G25&amp;"-")-1)),$C$40:$C$45,$D$40:$D$45),""))</f>
        <v>0</v>
      </c>
      <c r="I25" s="146" t="s">
        <v>117</v>
      </c>
      <c r="J25" s="70" t="n">
        <f aca="false">IF($I25="VOID",0,$H25)</f>
        <v>0</v>
      </c>
      <c r="K25" s="71" t="n">
        <v>0</v>
      </c>
      <c r="L25" s="72" t="str">
        <f aca="false">IF($K25="","n/a",IF($J25=$K25,"ok","MISMATCH"))</f>
        <v>ok</v>
      </c>
      <c r="M25" s="144" t="n">
        <v>25000</v>
      </c>
      <c r="N25" s="16"/>
      <c r="P25" s="38" t="s">
        <v>200</v>
      </c>
    </row>
    <row r="26" customFormat="false" ht="15" hidden="false" customHeight="true" outlineLevel="0" collapsed="false">
      <c r="B26" s="66" t="s">
        <v>1085</v>
      </c>
      <c r="C26" s="14" t="s">
        <v>1081</v>
      </c>
      <c r="D26" s="69" t="n">
        <v>3</v>
      </c>
      <c r="E26" s="68" t="n">
        <v>3</v>
      </c>
      <c r="F26" s="71" t="n">
        <v>1560</v>
      </c>
      <c r="G26" s="69" t="s">
        <v>514</v>
      </c>
      <c r="H26" s="70" t="n">
        <f aca="false">IF($G26="","",IFERROR(LOOKUP(VALUE(LEFT($G26&amp;"",FIND("-",$G26&amp;"-")-1)),$C$40:$C$45,$D$40:$D$45),""))</f>
        <v>0</v>
      </c>
      <c r="I26" s="146" t="s">
        <v>117</v>
      </c>
      <c r="J26" s="70" t="n">
        <f aca="false">IF($I26="VOID",0,$H26)</f>
        <v>0</v>
      </c>
      <c r="K26" s="71"/>
      <c r="L26" s="72" t="str">
        <f aca="false">IF($K26="","n/a",IF($J26=$K26,"ok","MISMATCH"))</f>
        <v>n/a</v>
      </c>
      <c r="M26" s="144" t="n">
        <v>25000</v>
      </c>
      <c r="N26" s="74" t="s">
        <v>1086</v>
      </c>
      <c r="P26" s="38" t="s">
        <v>1085</v>
      </c>
    </row>
    <row r="27" customFormat="false" ht="15" hidden="false" customHeight="true" outlineLevel="0" collapsed="false">
      <c r="B27" s="66" t="s">
        <v>228</v>
      </c>
      <c r="C27" s="14" t="s">
        <v>1077</v>
      </c>
      <c r="D27" s="69" t="n">
        <v>4</v>
      </c>
      <c r="E27" s="68" t="n">
        <v>4</v>
      </c>
      <c r="F27" s="71" t="n">
        <v>1515</v>
      </c>
      <c r="G27" s="69" t="s">
        <v>1087</v>
      </c>
      <c r="H27" s="70" t="n">
        <f aca="false">IF($G27="","",IFERROR(LOOKUP(VALUE(LEFT($G27&amp;"",FIND("-",$G27&amp;"-")-1)),$C$40:$C$45,$D$40:$D$45),""))</f>
        <v>0</v>
      </c>
      <c r="I27" s="146" t="s">
        <v>117</v>
      </c>
      <c r="J27" s="70" t="n">
        <f aca="false">IF($I27="VOID",0,$H27)</f>
        <v>0</v>
      </c>
      <c r="K27" s="71" t="n">
        <v>0</v>
      </c>
      <c r="L27" s="72" t="str">
        <f aca="false">IF($K27="","n/a",IF($J27=$K27,"ok","MISMATCH"))</f>
        <v>ok</v>
      </c>
      <c r="M27" s="144" t="n">
        <v>20000</v>
      </c>
      <c r="N27" s="74" t="s">
        <v>1088</v>
      </c>
      <c r="P27" s="38" t="s">
        <v>228</v>
      </c>
    </row>
    <row r="28" customFormat="false" ht="15" hidden="false" customHeight="true" outlineLevel="0" collapsed="false">
      <c r="B28" s="66" t="s">
        <v>233</v>
      </c>
      <c r="C28" s="14" t="s">
        <v>1079</v>
      </c>
      <c r="D28" s="69" t="n">
        <v>21</v>
      </c>
      <c r="E28" s="97" t="s">
        <v>93</v>
      </c>
      <c r="F28" s="71"/>
      <c r="G28" s="69" t="s">
        <v>1087</v>
      </c>
      <c r="H28" s="70" t="n">
        <f aca="false">IF($G28="","",IFERROR(LOOKUP(VALUE(LEFT($G28&amp;"",FIND("-",$G28&amp;"-")-1)),$C$40:$C$45,$D$40:$D$45),""))</f>
        <v>0</v>
      </c>
      <c r="I28" s="146" t="s">
        <v>117</v>
      </c>
      <c r="J28" s="70" t="n">
        <f aca="false">IF($I28="VOID",0,$H28)</f>
        <v>0</v>
      </c>
      <c r="K28" s="71"/>
      <c r="L28" s="72" t="str">
        <f aca="false">IF($K28="","n/a",IF($J28=$K28,"ok","MISMATCH"))</f>
        <v>n/a</v>
      </c>
      <c r="M28" s="144" t="n">
        <v>20000</v>
      </c>
      <c r="N28" s="74" t="s">
        <v>1089</v>
      </c>
      <c r="P28" s="38" t="s">
        <v>233</v>
      </c>
    </row>
    <row r="29" customFormat="false" ht="15" hidden="false" customHeight="true" outlineLevel="0" collapsed="false">
      <c r="B29" s="66" t="s">
        <v>300</v>
      </c>
      <c r="C29" s="14" t="s">
        <v>1045</v>
      </c>
      <c r="D29" s="69" t="n">
        <v>16</v>
      </c>
      <c r="E29" s="68" t="n">
        <v>26</v>
      </c>
      <c r="F29" s="71" t="n">
        <v>350</v>
      </c>
      <c r="G29" s="69" t="s">
        <v>529</v>
      </c>
      <c r="H29" s="70" t="n">
        <f aca="false">IF($G29="","",IFERROR(LOOKUP(VALUE(LEFT($G29&amp;"",FIND("-",$G29&amp;"-")-1)),$C$40:$C$45,$D$40:$D$45),""))</f>
        <v>0</v>
      </c>
      <c r="I29" s="146" t="s">
        <v>117</v>
      </c>
      <c r="J29" s="70" t="n">
        <f aca="false">IF($I29="VOID",0,$H29)</f>
        <v>0</v>
      </c>
      <c r="K29" s="71"/>
      <c r="L29" s="72" t="str">
        <f aca="false">IF($K29="","n/a",IF($J29=$K29,"ok","MISMATCH"))</f>
        <v>n/a</v>
      </c>
      <c r="M29" s="144" t="n">
        <v>17500</v>
      </c>
      <c r="N29" s="16"/>
      <c r="P29" s="38" t="s">
        <v>300</v>
      </c>
    </row>
    <row r="30" customFormat="false" ht="15" hidden="false" customHeight="true" outlineLevel="0" collapsed="false">
      <c r="B30" s="66" t="s">
        <v>202</v>
      </c>
      <c r="C30" s="14" t="s">
        <v>1074</v>
      </c>
      <c r="D30" s="69" t="n">
        <v>22</v>
      </c>
      <c r="E30" s="97" t="s">
        <v>93</v>
      </c>
      <c r="F30" s="71"/>
      <c r="G30" s="69" t="s">
        <v>529</v>
      </c>
      <c r="H30" s="70" t="n">
        <f aca="false">IF($G30="","",IFERROR(LOOKUP(VALUE(LEFT($G30&amp;"",FIND("-",$G30&amp;"-")-1)),$C$40:$C$45,$D$40:$D$45),""))</f>
        <v>0</v>
      </c>
      <c r="I30" s="146" t="s">
        <v>117</v>
      </c>
      <c r="J30" s="70" t="n">
        <f aca="false">IF($I30="VOID",0,$H30)</f>
        <v>0</v>
      </c>
      <c r="K30" s="71" t="n">
        <v>0</v>
      </c>
      <c r="L30" s="72" t="str">
        <f aca="false">IF($K30="","n/a",IF($J30=$K30,"ok","MISMATCH"))</f>
        <v>ok</v>
      </c>
      <c r="M30" s="144" t="n">
        <v>17500</v>
      </c>
      <c r="N30" s="74" t="s">
        <v>1089</v>
      </c>
      <c r="P30" s="38" t="s">
        <v>202</v>
      </c>
    </row>
    <row r="31" customFormat="false" ht="15" hidden="false" customHeight="true" outlineLevel="0" collapsed="false">
      <c r="B31" s="66" t="s">
        <v>1090</v>
      </c>
      <c r="C31" s="14" t="s">
        <v>1081</v>
      </c>
      <c r="D31" s="69" t="n">
        <v>13</v>
      </c>
      <c r="E31" s="68" t="n">
        <v>21</v>
      </c>
      <c r="F31" s="71" t="n">
        <v>475</v>
      </c>
      <c r="G31" s="69" t="s">
        <v>532</v>
      </c>
      <c r="H31" s="70" t="n">
        <f aca="false">IF($G31="","",IFERROR(LOOKUP(VALUE(LEFT($G31&amp;"",FIND("-",$G31&amp;"-")-1)),$C$40:$C$45,$D$40:$D$45),""))</f>
        <v>0</v>
      </c>
      <c r="I31" s="146" t="s">
        <v>117</v>
      </c>
      <c r="J31" s="70" t="n">
        <f aca="false">IF($I31="VOID",0,$H31)</f>
        <v>0</v>
      </c>
      <c r="K31" s="71"/>
      <c r="L31" s="72" t="str">
        <f aca="false">IF($K31="","n/a",IF($J31=$K31,"ok","MISMATCH"))</f>
        <v>n/a</v>
      </c>
      <c r="M31" s="144" t="n">
        <v>15000</v>
      </c>
      <c r="N31" s="16"/>
      <c r="P31" s="38" t="s">
        <v>1090</v>
      </c>
    </row>
    <row r="32" customFormat="false" ht="15" hidden="false" customHeight="true" outlineLevel="0" collapsed="false">
      <c r="B32" s="66" t="s">
        <v>1091</v>
      </c>
      <c r="C32" s="14" t="s">
        <v>1045</v>
      </c>
      <c r="D32" s="69" t="n">
        <v>17</v>
      </c>
      <c r="E32" s="68" t="n">
        <v>32</v>
      </c>
      <c r="F32" s="71" t="n">
        <v>280</v>
      </c>
      <c r="G32" s="69" t="s">
        <v>532</v>
      </c>
      <c r="H32" s="70" t="n">
        <f aca="false">IF($G32="","",IFERROR(LOOKUP(VALUE(LEFT($G32&amp;"",FIND("-",$G32&amp;"-")-1)),$C$40:$C$45,$D$40:$D$45),""))</f>
        <v>0</v>
      </c>
      <c r="I32" s="146" t="s">
        <v>117</v>
      </c>
      <c r="J32" s="70" t="n">
        <f aca="false">IF($I32="VOID",0,$H32)</f>
        <v>0</v>
      </c>
      <c r="K32" s="71"/>
      <c r="L32" s="72" t="str">
        <f aca="false">IF($K32="","n/a",IF($J32=$K32,"ok","MISMATCH"))</f>
        <v>n/a</v>
      </c>
      <c r="M32" s="144" t="n">
        <v>15000</v>
      </c>
      <c r="N32" s="16"/>
      <c r="P32" s="76" t="s">
        <v>370</v>
      </c>
    </row>
    <row r="34" customFormat="false" ht="15" hidden="false" customHeight="true" outlineLevel="0" collapsed="false">
      <c r="B34" s="11" t="s">
        <v>459</v>
      </c>
      <c r="J34" s="77" t="n">
        <f aca="false">SUM(J11:J32)</f>
        <v>3050</v>
      </c>
    </row>
    <row r="35" customFormat="false" ht="15" hidden="false" customHeight="true" outlineLevel="0" collapsed="false">
      <c r="B35" s="18" t="s">
        <v>1092</v>
      </c>
    </row>
    <row r="38" customFormat="false" ht="15" hidden="false" customHeight="true" outlineLevel="0" collapsed="false">
      <c r="B38" s="11" t="s">
        <v>461</v>
      </c>
    </row>
    <row r="39" customFormat="false" ht="15" hidden="false" customHeight="true" outlineLevel="0" collapsed="false">
      <c r="B39" s="4" t="s">
        <v>463</v>
      </c>
      <c r="C39" s="4" t="s">
        <v>464</v>
      </c>
      <c r="D39" s="4" t="s">
        <v>465</v>
      </c>
    </row>
    <row r="40" customFormat="false" ht="15" hidden="false" customHeight="true" outlineLevel="0" collapsed="false">
      <c r="C40" s="13" t="n">
        <v>1</v>
      </c>
      <c r="D40" s="79" t="n">
        <v>1000</v>
      </c>
      <c r="E40" s="80" t="s">
        <v>466</v>
      </c>
    </row>
    <row r="41" customFormat="false" ht="15" hidden="false" customHeight="true" outlineLevel="0" collapsed="false">
      <c r="C41" s="13" t="n">
        <v>2</v>
      </c>
      <c r="D41" s="79" t="n">
        <v>750</v>
      </c>
      <c r="E41" s="80" t="s">
        <v>467</v>
      </c>
    </row>
    <row r="42" customFormat="false" ht="15" hidden="false" customHeight="true" outlineLevel="0" collapsed="false">
      <c r="C42" s="13" t="n">
        <v>3</v>
      </c>
      <c r="D42" s="79" t="n">
        <v>500</v>
      </c>
      <c r="E42" s="80" t="s">
        <v>468</v>
      </c>
    </row>
    <row r="43" customFormat="false" ht="15" hidden="false" customHeight="true" outlineLevel="0" collapsed="false">
      <c r="C43" s="13" t="n">
        <v>4</v>
      </c>
      <c r="D43" s="79" t="n">
        <v>300</v>
      </c>
      <c r="E43" s="80" t="s">
        <v>469</v>
      </c>
    </row>
    <row r="44" customFormat="false" ht="15" hidden="false" customHeight="true" outlineLevel="0" collapsed="false">
      <c r="C44" s="13" t="n">
        <v>5</v>
      </c>
      <c r="D44" s="79" t="n">
        <v>200</v>
      </c>
      <c r="E44" s="80" t="s">
        <v>537</v>
      </c>
    </row>
    <row r="45" customFormat="false" ht="15" hidden="false" customHeight="true" outlineLevel="0" collapsed="false">
      <c r="C45" s="13" t="n">
        <v>9</v>
      </c>
      <c r="D45" s="79" t="n">
        <v>0</v>
      </c>
      <c r="E45" s="80" t="s">
        <v>1093</v>
      </c>
    </row>
    <row r="48" customFormat="false" ht="15" hidden="false" customHeight="true" outlineLevel="0" collapsed="false">
      <c r="B48" s="11" t="s">
        <v>1094</v>
      </c>
    </row>
    <row r="49" customFormat="false" ht="15" hidden="false" customHeight="true" outlineLevel="0" collapsed="false">
      <c r="B49" s="3" t="s">
        <v>1095</v>
      </c>
      <c r="C49" s="3"/>
      <c r="D49" s="3"/>
      <c r="E49" s="3"/>
      <c r="F49" s="3"/>
      <c r="G49" s="3"/>
      <c r="H49" s="3"/>
      <c r="I49" s="3"/>
      <c r="J49" s="3"/>
      <c r="K49" s="3"/>
      <c r="L49" s="3"/>
    </row>
    <row r="50" customFormat="false" ht="15" hidden="false" customHeight="true" outlineLevel="0" collapsed="false">
      <c r="B50" s="3"/>
      <c r="C50" s="3"/>
      <c r="D50" s="3"/>
      <c r="E50" s="3"/>
      <c r="F50" s="3"/>
      <c r="G50" s="3"/>
      <c r="H50" s="3"/>
      <c r="I50" s="3"/>
      <c r="J50" s="3"/>
      <c r="K50" s="3"/>
      <c r="L50" s="3"/>
    </row>
    <row r="51" customFormat="false" ht="15" hidden="false" customHeight="true" outlineLevel="0" collapsed="false">
      <c r="B51" s="3"/>
      <c r="C51" s="3"/>
      <c r="D51" s="3"/>
      <c r="E51" s="3"/>
      <c r="F51" s="3"/>
      <c r="G51" s="3"/>
      <c r="H51" s="3"/>
      <c r="I51" s="3"/>
      <c r="J51" s="3"/>
      <c r="K51" s="3"/>
      <c r="L51" s="3"/>
    </row>
    <row r="52" customFormat="false" ht="15" hidden="false" customHeight="true" outlineLevel="0" collapsed="false">
      <c r="B52" s="3"/>
      <c r="C52" s="3"/>
      <c r="D52" s="3"/>
      <c r="E52" s="3"/>
      <c r="F52" s="3"/>
      <c r="G52" s="3"/>
      <c r="H52" s="3"/>
      <c r="I52" s="3"/>
      <c r="J52" s="3"/>
      <c r="K52" s="3"/>
      <c r="L52" s="3"/>
    </row>
    <row r="53" customFormat="false" ht="15" hidden="false" customHeight="true" outlineLevel="0" collapsed="false">
      <c r="B53" s="3"/>
      <c r="C53" s="3"/>
      <c r="D53" s="3"/>
      <c r="E53" s="3"/>
      <c r="F53" s="3"/>
      <c r="G53" s="3"/>
      <c r="H53" s="3"/>
      <c r="I53" s="3"/>
      <c r="J53" s="3"/>
      <c r="K53" s="3"/>
      <c r="L53" s="3"/>
    </row>
    <row r="54" customFormat="false" ht="15" hidden="false" customHeight="true" outlineLevel="0" collapsed="false">
      <c r="B54" s="3"/>
      <c r="C54" s="3"/>
      <c r="D54" s="3"/>
      <c r="E54" s="3"/>
      <c r="F54" s="3"/>
      <c r="G54" s="3"/>
      <c r="H54" s="3"/>
      <c r="I54" s="3"/>
      <c r="J54" s="3"/>
      <c r="K54" s="3"/>
      <c r="L54" s="3"/>
    </row>
    <row r="55" customFormat="false" ht="15" hidden="false" customHeight="true" outlineLevel="0" collapsed="false">
      <c r="B55" s="3"/>
      <c r="C55" s="3"/>
      <c r="D55" s="3"/>
      <c r="E55" s="3"/>
      <c r="F55" s="3"/>
      <c r="G55" s="3"/>
      <c r="H55" s="3"/>
      <c r="I55" s="3"/>
      <c r="J55" s="3"/>
      <c r="K55" s="3"/>
      <c r="L55" s="3"/>
    </row>
    <row r="57" customFormat="false" ht="23.25" hidden="false" customHeight="true" outlineLevel="0" collapsed="false">
      <c r="B57" s="4" t="s">
        <v>541</v>
      </c>
      <c r="C57" s="4" t="s">
        <v>418</v>
      </c>
      <c r="D57" s="4" t="s">
        <v>1073</v>
      </c>
      <c r="E57" s="4" t="s">
        <v>835</v>
      </c>
      <c r="F57" s="4" t="s">
        <v>544</v>
      </c>
    </row>
    <row r="58" customFormat="false" ht="15" hidden="false" customHeight="true" outlineLevel="0" collapsed="false">
      <c r="B58" s="13" t="n">
        <v>1</v>
      </c>
      <c r="C58" s="81" t="s">
        <v>1076</v>
      </c>
      <c r="D58" s="130" t="n">
        <v>1890</v>
      </c>
      <c r="E58" s="13" t="s">
        <v>430</v>
      </c>
      <c r="F58" s="95" t="n">
        <v>-2</v>
      </c>
    </row>
    <row r="59" customFormat="false" ht="15" hidden="false" customHeight="true" outlineLevel="0" collapsed="false">
      <c r="B59" s="13" t="n">
        <v>2</v>
      </c>
      <c r="C59" s="81" t="s">
        <v>281</v>
      </c>
      <c r="D59" s="130" t="n">
        <v>1610</v>
      </c>
      <c r="E59" s="13" t="s">
        <v>427</v>
      </c>
      <c r="F59" s="96" t="n">
        <v>1</v>
      </c>
    </row>
    <row r="60" customFormat="false" ht="15" hidden="false" customHeight="true" outlineLevel="0" collapsed="false">
      <c r="B60" s="13" t="n">
        <v>3</v>
      </c>
      <c r="C60" s="81" t="s">
        <v>1085</v>
      </c>
      <c r="D60" s="130" t="n">
        <v>1560</v>
      </c>
      <c r="E60" s="13" t="s">
        <v>514</v>
      </c>
      <c r="F60" s="95" t="n">
        <v>-10</v>
      </c>
    </row>
    <row r="61" customFormat="false" ht="15" hidden="false" customHeight="true" outlineLevel="0" collapsed="false">
      <c r="B61" s="13" t="n">
        <v>4</v>
      </c>
      <c r="C61" s="81" t="s">
        <v>228</v>
      </c>
      <c r="D61" s="130" t="n">
        <v>1515</v>
      </c>
      <c r="E61" s="13" t="s">
        <v>1087</v>
      </c>
      <c r="F61" s="95" t="n">
        <v>-13</v>
      </c>
    </row>
    <row r="62" customFormat="false" ht="15" hidden="false" customHeight="true" outlineLevel="0" collapsed="false">
      <c r="B62" s="13" t="n">
        <v>5</v>
      </c>
      <c r="C62" s="81" t="s">
        <v>336</v>
      </c>
      <c r="D62" s="130" t="n">
        <v>1495</v>
      </c>
      <c r="E62" s="13" t="s">
        <v>432</v>
      </c>
      <c r="F62" s="94" t="n">
        <v>0</v>
      </c>
    </row>
    <row r="63" customFormat="false" ht="15" hidden="false" customHeight="true" outlineLevel="0" collapsed="false">
      <c r="B63" s="13" t="n">
        <v>6</v>
      </c>
      <c r="C63" s="81" t="s">
        <v>114</v>
      </c>
      <c r="D63" s="130" t="n">
        <v>1435</v>
      </c>
      <c r="E63" s="13" t="s">
        <v>506</v>
      </c>
      <c r="F63" s="95" t="n">
        <v>-3</v>
      </c>
    </row>
    <row r="64" customFormat="false" ht="15" hidden="false" customHeight="true" outlineLevel="0" collapsed="false">
      <c r="B64" s="13" t="n">
        <v>7</v>
      </c>
      <c r="C64" s="81" t="s">
        <v>150</v>
      </c>
      <c r="D64" s="130" t="n">
        <v>1310</v>
      </c>
      <c r="E64" s="13" t="s">
        <v>432</v>
      </c>
      <c r="F64" s="96" t="n">
        <v>2</v>
      </c>
    </row>
    <row r="65" customFormat="false" ht="15" hidden="false" customHeight="true" outlineLevel="0" collapsed="false">
      <c r="B65" s="13" t="n">
        <v>8</v>
      </c>
      <c r="C65" s="81" t="s">
        <v>123</v>
      </c>
      <c r="D65" s="130" t="n">
        <v>1125</v>
      </c>
      <c r="E65" s="13" t="s">
        <v>506</v>
      </c>
      <c r="F65" s="95" t="n">
        <v>-1</v>
      </c>
    </row>
    <row r="66" customFormat="false" ht="15" hidden="false" customHeight="true" outlineLevel="0" collapsed="false">
      <c r="B66" s="13" t="n">
        <v>9</v>
      </c>
      <c r="C66" s="81" t="s">
        <v>127</v>
      </c>
      <c r="D66" s="130" t="n">
        <v>1040</v>
      </c>
      <c r="E66" s="13" t="s">
        <v>514</v>
      </c>
      <c r="F66" s="95" t="n">
        <v>-4</v>
      </c>
    </row>
    <row r="67" customFormat="false" ht="15" hidden="false" customHeight="true" outlineLevel="0" collapsed="false">
      <c r="B67" s="13" t="n">
        <v>10</v>
      </c>
      <c r="C67" s="81" t="s">
        <v>1084</v>
      </c>
      <c r="D67" s="130" t="n">
        <v>1010</v>
      </c>
      <c r="E67" s="13" t="s">
        <v>506</v>
      </c>
      <c r="F67" s="96" t="n">
        <v>1</v>
      </c>
    </row>
    <row r="68" customFormat="false" ht="15" hidden="false" customHeight="true" outlineLevel="0" collapsed="false">
      <c r="B68" s="13" t="n">
        <v>11</v>
      </c>
      <c r="C68" s="81" t="s">
        <v>200</v>
      </c>
      <c r="D68" s="130" t="n">
        <v>895</v>
      </c>
      <c r="E68" s="13" t="s">
        <v>514</v>
      </c>
      <c r="F68" s="95" t="n">
        <v>-2</v>
      </c>
    </row>
    <row r="69" customFormat="false" ht="15" hidden="false" customHeight="true" outlineLevel="0" collapsed="false">
      <c r="B69" s="13" t="n">
        <v>12</v>
      </c>
      <c r="C69" s="81" t="s">
        <v>181</v>
      </c>
      <c r="D69" s="130" t="n">
        <v>890</v>
      </c>
      <c r="E69" s="13" t="s">
        <v>428</v>
      </c>
      <c r="F69" s="96" t="n">
        <v>10</v>
      </c>
    </row>
    <row r="70" customFormat="false" ht="15" hidden="false" customHeight="true" outlineLevel="0" collapsed="false">
      <c r="B70" s="13" t="n">
        <v>13</v>
      </c>
      <c r="C70" s="81" t="s">
        <v>1090</v>
      </c>
      <c r="D70" s="130" t="n">
        <v>475</v>
      </c>
      <c r="E70" s="13" t="s">
        <v>532</v>
      </c>
      <c r="F70" s="95" t="n">
        <v>-8</v>
      </c>
    </row>
    <row r="71" customFormat="false" ht="15" hidden="false" customHeight="true" outlineLevel="0" collapsed="false">
      <c r="B71" s="13" t="n">
        <v>14</v>
      </c>
      <c r="C71" s="81" t="s">
        <v>292</v>
      </c>
      <c r="D71" s="130" t="n">
        <v>360</v>
      </c>
      <c r="E71" s="13" t="s">
        <v>514</v>
      </c>
      <c r="F71" s="96" t="n">
        <v>1</v>
      </c>
    </row>
    <row r="72" customFormat="false" ht="15" hidden="false" customHeight="true" outlineLevel="0" collapsed="false">
      <c r="B72" s="13" t="n">
        <v>15</v>
      </c>
      <c r="C72" s="81" t="s">
        <v>141</v>
      </c>
      <c r="D72" s="130" t="n">
        <v>350</v>
      </c>
      <c r="E72" s="13" t="s">
        <v>432</v>
      </c>
      <c r="F72" s="96" t="n">
        <v>10</v>
      </c>
    </row>
    <row r="73" customFormat="false" ht="15" hidden="false" customHeight="true" outlineLevel="0" collapsed="false">
      <c r="B73" s="13" t="n">
        <v>16</v>
      </c>
      <c r="C73" s="81" t="s">
        <v>300</v>
      </c>
      <c r="D73" s="130" t="n">
        <v>350</v>
      </c>
      <c r="E73" s="13" t="s">
        <v>529</v>
      </c>
      <c r="F73" s="95" t="n">
        <v>-3</v>
      </c>
    </row>
    <row r="74" customFormat="false" ht="15" hidden="false" customHeight="true" outlineLevel="0" collapsed="false">
      <c r="B74" s="13" t="n">
        <v>17</v>
      </c>
      <c r="C74" s="81" t="s">
        <v>1091</v>
      </c>
      <c r="D74" s="130" t="n">
        <v>280</v>
      </c>
      <c r="E74" s="13" t="s">
        <v>532</v>
      </c>
      <c r="F74" s="95" t="n">
        <v>-4</v>
      </c>
    </row>
    <row r="75" customFormat="false" ht="15" hidden="false" customHeight="true" outlineLevel="0" collapsed="false">
      <c r="B75" s="13" t="n">
        <v>18</v>
      </c>
      <c r="C75" s="81" t="s">
        <v>163</v>
      </c>
      <c r="D75" s="130" t="n">
        <v>270</v>
      </c>
      <c r="E75" s="13" t="s">
        <v>431</v>
      </c>
      <c r="F75" s="96" t="n">
        <v>14</v>
      </c>
    </row>
    <row r="76" customFormat="false" ht="15" hidden="false" customHeight="true" outlineLevel="0" collapsed="false">
      <c r="B76" s="13" t="n">
        <v>19</v>
      </c>
      <c r="C76" s="81" t="s">
        <v>171</v>
      </c>
      <c r="D76" s="130" t="n">
        <v>260</v>
      </c>
      <c r="E76" s="13" t="s">
        <v>506</v>
      </c>
      <c r="F76" s="96" t="n">
        <v>10</v>
      </c>
    </row>
    <row r="77" customFormat="false" ht="15" hidden="false" customHeight="true" outlineLevel="0" collapsed="false">
      <c r="B77" s="13" t="n">
        <v>20</v>
      </c>
      <c r="C77" s="81" t="s">
        <v>567</v>
      </c>
      <c r="D77" s="130" t="n">
        <v>80</v>
      </c>
      <c r="E77" s="13" t="s">
        <v>432</v>
      </c>
      <c r="F77" s="96" t="n">
        <v>15</v>
      </c>
    </row>
    <row r="78" customFormat="false" ht="15" hidden="false" customHeight="true" outlineLevel="0" collapsed="false">
      <c r="B78" s="13" t="n">
        <v>21</v>
      </c>
      <c r="C78" s="81" t="s">
        <v>233</v>
      </c>
      <c r="D78" s="130"/>
      <c r="E78" s="13" t="s">
        <v>1087</v>
      </c>
      <c r="F78" s="96" t="n">
        <v>4</v>
      </c>
    </row>
    <row r="79" customFormat="false" ht="15" hidden="false" customHeight="true" outlineLevel="0" collapsed="false">
      <c r="B79" s="13" t="n">
        <v>22</v>
      </c>
      <c r="C79" s="81" t="s">
        <v>202</v>
      </c>
      <c r="D79" s="130"/>
      <c r="E79" s="13" t="s">
        <v>529</v>
      </c>
      <c r="F79" s="96" t="n">
        <v>3</v>
      </c>
    </row>
  </sheetData>
  <sheetProtection sheet="true" formatCells="false" selectLockedCells="true" selectUnlockedCells="true"/>
  <mergeCells count="1">
    <mergeCell ref="B49:L55"/>
  </mergeCells>
  <dataValidations count="2">
    <dataValidation allowBlank="true" error="Pick a placement from the list." errorStyle="stop" errorTitle="Use the dropdown" operator="between" showDropDown="false" showErrorMessage="false" showInputMessage="false" sqref="G11:G32" type="list">
      <formula1>"1,2,3,4,5-8,9-12,13-16,17-18,19-20,21-22"</formula1>
      <formula2>0</formula2>
    </dataValidation>
    <dataValidation allowBlank="true" errorStyle="stop" operator="between" showDropDown="false" showErrorMessage="false" showInputMessage="false" sqref="C11:C32" type="list">
      <formula1>"North America,South America,Europe MENA,Asia Pacific,CN"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7"/>
    <col collapsed="false" customWidth="true" hidden="false" outlineLevel="0" max="4" min="4" style="1" width="13"/>
    <col collapsed="false" customWidth="true" hidden="false" outlineLevel="0" max="6" min="5" style="1" width="11"/>
    <col collapsed="false" customWidth="true" hidden="false" outlineLevel="0" max="7" min="7" style="1" width="12"/>
    <col collapsed="false" customWidth="true" hidden="false" outlineLevel="0" max="8" min="8" style="1" width="15"/>
    <col collapsed="false" customWidth="true" hidden="false" outlineLevel="0" max="9" min="9" style="1" width="10"/>
    <col collapsed="false" customWidth="true" hidden="false" outlineLevel="0" max="10" min="10" style="1" width="12"/>
    <col collapsed="false" customWidth="true" hidden="false" outlineLevel="0" max="11" min="11" style="1" width="46"/>
  </cols>
  <sheetData>
    <row r="2" customFormat="false" ht="18" hidden="false" customHeight="true" outlineLevel="0" collapsed="false">
      <c r="B2" s="2" t="s">
        <v>1096</v>
      </c>
    </row>
    <row r="3" customFormat="false" ht="15" hidden="false" customHeight="true" outlineLevel="0" collapsed="false">
      <c r="B3" s="18" t="s">
        <v>1097</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1098</v>
      </c>
      <c r="D6" s="28" t="s">
        <v>1099</v>
      </c>
      <c r="F6" s="28" t="s">
        <v>1100</v>
      </c>
      <c r="H6" s="28" t="s">
        <v>1101</v>
      </c>
      <c r="J6" s="28" t="s">
        <v>1102</v>
      </c>
      <c r="L6" s="28" t="s">
        <v>592</v>
      </c>
    </row>
    <row r="8" customFormat="false" ht="15" hidden="false" customHeight="true" outlineLevel="0" collapsed="false">
      <c r="B8" s="11" t="s">
        <v>416</v>
      </c>
    </row>
    <row r="9" customFormat="false" ht="15" hidden="false" customHeight="true" outlineLevel="0" collapsed="false">
      <c r="B9" s="93" t="s">
        <v>1103</v>
      </c>
    </row>
    <row r="10" customFormat="false" ht="34.5" hidden="false" customHeight="true" outlineLevel="0" collapsed="false">
      <c r="B10" s="4" t="s">
        <v>418</v>
      </c>
      <c r="C10" s="4" t="s">
        <v>541</v>
      </c>
      <c r="D10" s="4" t="s">
        <v>1104</v>
      </c>
      <c r="E10" s="4" t="s">
        <v>1105</v>
      </c>
      <c r="F10" s="4" t="s">
        <v>421</v>
      </c>
      <c r="G10" s="4" t="s">
        <v>422</v>
      </c>
      <c r="H10" s="4" t="s">
        <v>423</v>
      </c>
      <c r="I10" s="4" t="s">
        <v>424</v>
      </c>
      <c r="J10" s="4" t="s">
        <v>425</v>
      </c>
      <c r="K10" s="4" t="s">
        <v>1106</v>
      </c>
      <c r="M10" s="4" t="s">
        <v>426</v>
      </c>
    </row>
    <row r="11" customFormat="false" ht="15" hidden="false" customHeight="true" outlineLevel="0" collapsed="false">
      <c r="B11" s="57" t="s">
        <v>134</v>
      </c>
      <c r="C11" s="60" t="n">
        <v>1</v>
      </c>
      <c r="D11" s="14" t="s">
        <v>1107</v>
      </c>
      <c r="E11" s="59" t="s">
        <v>93</v>
      </c>
      <c r="F11" s="60" t="s">
        <v>431</v>
      </c>
      <c r="G11" s="61" t="n">
        <f aca="false">IF($F11="","",IFERROR(LOOKUP(VALUE(LEFT($F11&amp;"",FIND("-",$F11&amp;"-")-1)),$C$50:$C$58,$D$50:$D$58),""))</f>
        <v>300</v>
      </c>
      <c r="H11" s="62" t="n">
        <v>300</v>
      </c>
      <c r="I11" s="63" t="str">
        <f aca="false">IF($H11="","n/a",IF($G11=$H11,"ok","MISMATCH"))</f>
        <v>ok</v>
      </c>
      <c r="J11" s="142" t="n">
        <v>72000</v>
      </c>
      <c r="K11" s="91" t="s">
        <v>1108</v>
      </c>
      <c r="M11" s="38" t="s">
        <v>134</v>
      </c>
    </row>
    <row r="12" customFormat="false" ht="15" hidden="false" customHeight="true" outlineLevel="0" collapsed="false">
      <c r="B12" s="66" t="s">
        <v>114</v>
      </c>
      <c r="C12" s="69" t="n">
        <v>2</v>
      </c>
      <c r="D12" s="14" t="s">
        <v>1109</v>
      </c>
      <c r="E12" s="68" t="n">
        <v>1</v>
      </c>
      <c r="F12" s="69" t="s">
        <v>632</v>
      </c>
      <c r="G12" s="70" t="n">
        <f aca="false">IF($F12="","",IFERROR(LOOKUP(VALUE(LEFT($F12&amp;"",FIND("-",$F12&amp;"-")-1)),$C$50:$C$58,$D$50:$D$58),""))</f>
        <v>0</v>
      </c>
      <c r="H12" s="71" t="n">
        <v>0</v>
      </c>
      <c r="I12" s="72" t="str">
        <f aca="false">IF($H12="","n/a",IF($G12=$H12,"ok","MISMATCH"))</f>
        <v>ok</v>
      </c>
      <c r="J12" s="144" t="n">
        <v>11500</v>
      </c>
      <c r="K12" s="16" t="s">
        <v>1110</v>
      </c>
      <c r="M12" s="38" t="s">
        <v>114</v>
      </c>
    </row>
    <row r="13" customFormat="false" ht="15" hidden="false" customHeight="true" outlineLevel="0" collapsed="false">
      <c r="B13" s="57" t="s">
        <v>191</v>
      </c>
      <c r="C13" s="150" t="n">
        <v>3</v>
      </c>
      <c r="D13" s="14" t="s">
        <v>1109</v>
      </c>
      <c r="E13" s="59" t="n">
        <v>3</v>
      </c>
      <c r="F13" s="60" t="s">
        <v>611</v>
      </c>
      <c r="G13" s="61" t="n">
        <f aca="false">IF($F13="","",IFERROR(LOOKUP(VALUE(LEFT($F13&amp;"",FIND("-",$F13&amp;"-")-1)),$C$50:$C$58,$D$50:$D$58),""))</f>
        <v>100</v>
      </c>
      <c r="H13" s="62" t="n">
        <v>100</v>
      </c>
      <c r="I13" s="63" t="str">
        <f aca="false">IF($H13="","n/a",IF($G13=$H13,"ok","MISMATCH"))</f>
        <v>ok</v>
      </c>
      <c r="J13" s="142" t="n">
        <v>35000</v>
      </c>
      <c r="K13" s="129" t="s">
        <v>1111</v>
      </c>
      <c r="M13" s="38" t="s">
        <v>191</v>
      </c>
    </row>
    <row r="14" customFormat="false" ht="15" hidden="false" customHeight="true" outlineLevel="0" collapsed="false">
      <c r="B14" s="66" t="s">
        <v>298</v>
      </c>
      <c r="C14" s="69" t="n">
        <v>4</v>
      </c>
      <c r="D14" s="14" t="s">
        <v>1109</v>
      </c>
      <c r="E14" s="68" t="n">
        <v>4</v>
      </c>
      <c r="F14" s="69" t="s">
        <v>624</v>
      </c>
      <c r="G14" s="70" t="n">
        <f aca="false">IF($F14="","",IFERROR(LOOKUP(VALUE(LEFT($F14&amp;"",FIND("-",$F14&amp;"-")-1)),$C$50:$C$58,$D$50:$D$58),""))</f>
        <v>0</v>
      </c>
      <c r="H14" s="71"/>
      <c r="I14" s="72" t="str">
        <f aca="false">IF($H14="","n/a",IF($G14=$H14,"ok","MISMATCH"))</f>
        <v>n/a</v>
      </c>
      <c r="J14" s="144" t="n">
        <v>17000</v>
      </c>
      <c r="K14" s="16" t="s">
        <v>1112</v>
      </c>
      <c r="M14" s="38" t="s">
        <v>298</v>
      </c>
    </row>
    <row r="15" customFormat="false" ht="15" hidden="false" customHeight="true" outlineLevel="0" collapsed="false">
      <c r="B15" s="57" t="s">
        <v>123</v>
      </c>
      <c r="C15" s="60" t="n">
        <v>5</v>
      </c>
      <c r="D15" s="14" t="s">
        <v>1109</v>
      </c>
      <c r="E15" s="59" t="n">
        <v>5</v>
      </c>
      <c r="F15" s="60" t="s">
        <v>612</v>
      </c>
      <c r="G15" s="61" t="n">
        <f aca="false">IF($F15="","",IFERROR(LOOKUP(VALUE(LEFT($F15&amp;"",FIND("-",$F15&amp;"-")-1)),$C$50:$C$58,$D$50:$D$58),""))</f>
        <v>50</v>
      </c>
      <c r="H15" s="62" t="n">
        <v>50</v>
      </c>
      <c r="I15" s="63" t="str">
        <f aca="false">IF($H15="","n/a",IF($G15=$H15,"ok","MISMATCH"))</f>
        <v>ok</v>
      </c>
      <c r="J15" s="142" t="n">
        <v>30000</v>
      </c>
      <c r="K15" s="91" t="s">
        <v>1113</v>
      </c>
      <c r="M15" s="38" t="s">
        <v>123</v>
      </c>
    </row>
    <row r="16" customFormat="false" ht="15" hidden="false" customHeight="true" outlineLevel="0" collapsed="false">
      <c r="B16" s="66" t="s">
        <v>302</v>
      </c>
      <c r="C16" s="69" t="n">
        <v>6</v>
      </c>
      <c r="D16" s="14" t="s">
        <v>1114</v>
      </c>
      <c r="E16" s="68" t="n">
        <v>3</v>
      </c>
      <c r="F16" s="69" t="s">
        <v>527</v>
      </c>
      <c r="G16" s="70" t="n">
        <f aca="false">IF($F16="","",IFERROR(LOOKUP(VALUE(LEFT($F16&amp;"",FIND("-",$F16&amp;"-")-1)),$C$50:$C$58,$D$50:$D$58),""))</f>
        <v>0</v>
      </c>
      <c r="H16" s="71"/>
      <c r="I16" s="72" t="str">
        <f aca="false">IF($H16="","n/a",IF($G16=$H16,"ok","MISMATCH"))</f>
        <v>n/a</v>
      </c>
      <c r="J16" s="144" t="n">
        <v>10500</v>
      </c>
      <c r="K16" s="16" t="s">
        <v>1113</v>
      </c>
      <c r="M16" s="38" t="s">
        <v>302</v>
      </c>
    </row>
    <row r="17" customFormat="false" ht="15" hidden="false" customHeight="true" outlineLevel="0" collapsed="false">
      <c r="B17" s="29" t="s">
        <v>215</v>
      </c>
      <c r="C17" s="32" t="n">
        <v>7</v>
      </c>
      <c r="D17" s="14" t="s">
        <v>1114</v>
      </c>
      <c r="E17" s="31" t="n">
        <v>5</v>
      </c>
      <c r="F17" s="32" t="s">
        <v>427</v>
      </c>
      <c r="G17" s="33" t="n">
        <f aca="false">IF($F17="","",IFERROR(LOOKUP(VALUE(LEFT($F17&amp;"",FIND("-",$F17&amp;"-")-1)),$C$50:$C$58,$D$50:$D$58),""))</f>
        <v>1000</v>
      </c>
      <c r="H17" s="34" t="n">
        <v>1000</v>
      </c>
      <c r="I17" s="35" t="str">
        <f aca="false">IF($H17="","n/a",IF($G17=$H17,"ok","MISMATCH"))</f>
        <v>ok</v>
      </c>
      <c r="J17" s="137" t="n">
        <v>250000</v>
      </c>
      <c r="K17" s="85" t="s">
        <v>1113</v>
      </c>
      <c r="M17" s="38" t="s">
        <v>215</v>
      </c>
    </row>
    <row r="18" customFormat="false" ht="15" hidden="false" customHeight="true" outlineLevel="0" collapsed="false">
      <c r="B18" s="66" t="s">
        <v>253</v>
      </c>
      <c r="C18" s="69" t="n">
        <v>8</v>
      </c>
      <c r="D18" s="14" t="s">
        <v>1114</v>
      </c>
      <c r="E18" s="68" t="n">
        <v>6</v>
      </c>
      <c r="F18" s="69" t="s">
        <v>617</v>
      </c>
      <c r="G18" s="70" t="n">
        <f aca="false">IF($F18="","",IFERROR(LOOKUP(VALUE(LEFT($F18&amp;"",FIND("-",$F18&amp;"-")-1)),$C$50:$C$58,$D$50:$D$58),""))</f>
        <v>0</v>
      </c>
      <c r="H18" s="71"/>
      <c r="I18" s="72" t="str">
        <f aca="false">IF($H18="","n/a",IF($G18=$H18,"ok","MISMATCH"))</f>
        <v>n/a</v>
      </c>
      <c r="J18" s="144" t="n">
        <v>24000</v>
      </c>
      <c r="K18" s="16" t="s">
        <v>1113</v>
      </c>
      <c r="M18" s="38" t="s">
        <v>253</v>
      </c>
    </row>
    <row r="19" customFormat="false" ht="15" hidden="false" customHeight="true" outlineLevel="0" collapsed="false">
      <c r="B19" s="48" t="s">
        <v>189</v>
      </c>
      <c r="C19" s="51" t="n">
        <v>9</v>
      </c>
      <c r="D19" s="14" t="s">
        <v>1114</v>
      </c>
      <c r="E19" s="50" t="n">
        <v>7</v>
      </c>
      <c r="F19" s="51" t="s">
        <v>430</v>
      </c>
      <c r="G19" s="52" t="n">
        <f aca="false">IF($F19="","",IFERROR(LOOKUP(VALUE(LEFT($F19&amp;"",FIND("-",$F19&amp;"-")-1)),$C$50:$C$58,$D$50:$D$58),""))</f>
        <v>500</v>
      </c>
      <c r="H19" s="53" t="n">
        <v>500</v>
      </c>
      <c r="I19" s="54" t="str">
        <f aca="false">IF($H19="","n/a",IF($G19=$H19,"ok","MISMATCH"))</f>
        <v>ok</v>
      </c>
      <c r="J19" s="140" t="n">
        <v>100000</v>
      </c>
      <c r="K19" s="89" t="s">
        <v>1113</v>
      </c>
      <c r="M19" s="38" t="s">
        <v>189</v>
      </c>
    </row>
    <row r="20" customFormat="false" ht="15" hidden="false" customHeight="true" outlineLevel="0" collapsed="false">
      <c r="B20" s="39" t="s">
        <v>173</v>
      </c>
      <c r="C20" s="42" t="n">
        <v>10</v>
      </c>
      <c r="D20" s="14" t="s">
        <v>1114</v>
      </c>
      <c r="E20" s="41" t="n">
        <v>8</v>
      </c>
      <c r="F20" s="42" t="s">
        <v>428</v>
      </c>
      <c r="G20" s="43" t="n">
        <f aca="false">IF($F20="","",IFERROR(LOOKUP(VALUE(LEFT($F20&amp;"",FIND("-",$F20&amp;"-")-1)),$C$50:$C$58,$D$50:$D$58),""))</f>
        <v>750</v>
      </c>
      <c r="H20" s="44" t="n">
        <v>750</v>
      </c>
      <c r="I20" s="45" t="str">
        <f aca="false">IF($H20="","n/a",IF($G20=$H20,"ok","MISMATCH"))</f>
        <v>ok</v>
      </c>
      <c r="J20" s="139" t="n">
        <v>145000</v>
      </c>
      <c r="K20" s="87" t="s">
        <v>1113</v>
      </c>
      <c r="M20" s="38" t="s">
        <v>173</v>
      </c>
    </row>
    <row r="21" customFormat="false" ht="15" hidden="false" customHeight="true" outlineLevel="0" collapsed="false">
      <c r="B21" s="66" t="s">
        <v>119</v>
      </c>
      <c r="C21" s="69" t="n">
        <v>11</v>
      </c>
      <c r="D21" s="14" t="s">
        <v>1115</v>
      </c>
      <c r="E21" s="68" t="n">
        <v>1</v>
      </c>
      <c r="F21" s="69" t="s">
        <v>620</v>
      </c>
      <c r="G21" s="70" t="n">
        <f aca="false">IF($F21="","",IFERROR(LOOKUP(VALUE(LEFT($F21&amp;"",FIND("-",$F21&amp;"-")-1)),$C$50:$C$58,$D$50:$D$58),""))</f>
        <v>0</v>
      </c>
      <c r="H21" s="71" t="n">
        <v>0</v>
      </c>
      <c r="I21" s="72" t="str">
        <f aca="false">IF($H21="","n/a",IF($G21=$H21,"ok","MISMATCH"))</f>
        <v>ok</v>
      </c>
      <c r="J21" s="144" t="n">
        <v>21000</v>
      </c>
      <c r="K21" s="16" t="s">
        <v>1113</v>
      </c>
      <c r="M21" s="38" t="s">
        <v>119</v>
      </c>
    </row>
    <row r="22" customFormat="false" ht="15" hidden="false" customHeight="true" outlineLevel="0" collapsed="false">
      <c r="B22" s="66" t="s">
        <v>318</v>
      </c>
      <c r="C22" s="69" t="n">
        <v>12</v>
      </c>
      <c r="D22" s="14" t="s">
        <v>1115</v>
      </c>
      <c r="E22" s="68" t="n">
        <v>2</v>
      </c>
      <c r="F22" s="69" t="s">
        <v>644</v>
      </c>
      <c r="G22" s="70" t="n">
        <f aca="false">IF($F22="","",IFERROR(LOOKUP(VALUE(LEFT($F22&amp;"",FIND("-",$F22&amp;"-")-1)),$C$50:$C$58,$D$50:$D$58),""))</f>
        <v>0</v>
      </c>
      <c r="H22" s="71"/>
      <c r="I22" s="72" t="str">
        <f aca="false">IF($H22="","n/a",IF($G22=$H22,"ok","MISMATCH"))</f>
        <v>n/a</v>
      </c>
      <c r="J22" s="144" t="n">
        <v>7500</v>
      </c>
      <c r="K22" s="16" t="s">
        <v>1113</v>
      </c>
      <c r="M22" s="38" t="s">
        <v>318</v>
      </c>
    </row>
    <row r="23" customFormat="false" ht="15" hidden="false" customHeight="true" outlineLevel="0" collapsed="false">
      <c r="B23" s="66" t="s">
        <v>161</v>
      </c>
      <c r="C23" s="69" t="n">
        <v>13</v>
      </c>
      <c r="D23" s="14" t="s">
        <v>1115</v>
      </c>
      <c r="E23" s="68" t="n">
        <v>3</v>
      </c>
      <c r="F23" s="69" t="s">
        <v>621</v>
      </c>
      <c r="G23" s="70" t="n">
        <f aca="false">IF($F23="","",IFERROR(LOOKUP(VALUE(LEFT($F23&amp;"",FIND("-",$F23&amp;"-")-1)),$C$50:$C$58,$D$50:$D$58),""))</f>
        <v>0</v>
      </c>
      <c r="H23" s="71" t="n">
        <v>0</v>
      </c>
      <c r="I23" s="72" t="str">
        <f aca="false">IF($H23="","n/a",IF($G23=$H23,"ok","MISMATCH"))</f>
        <v>ok</v>
      </c>
      <c r="J23" s="144" t="n">
        <v>19000</v>
      </c>
      <c r="K23" s="16" t="s">
        <v>1113</v>
      </c>
      <c r="M23" s="38" t="s">
        <v>161</v>
      </c>
    </row>
    <row r="24" customFormat="false" ht="15" hidden="false" customHeight="true" outlineLevel="0" collapsed="false">
      <c r="B24" s="66" t="s">
        <v>500</v>
      </c>
      <c r="C24" s="69" t="n">
        <v>14</v>
      </c>
      <c r="D24" s="14" t="s">
        <v>1115</v>
      </c>
      <c r="E24" s="68" t="n">
        <v>4</v>
      </c>
      <c r="F24" s="69" t="s">
        <v>646</v>
      </c>
      <c r="G24" s="70" t="n">
        <f aca="false">IF($F24="","",IFERROR(LOOKUP(VALUE(LEFT($F24&amp;"",FIND("-",$F24&amp;"-")-1)),$C$50:$C$58,$D$50:$D$58),""))</f>
        <v>0</v>
      </c>
      <c r="H24" s="71"/>
      <c r="I24" s="72" t="str">
        <f aca="false">IF($H24="","n/a",IF($G24=$H24,"ok","MISMATCH"))</f>
        <v>n/a</v>
      </c>
      <c r="J24" s="144" t="n">
        <v>7000</v>
      </c>
      <c r="K24" s="16" t="s">
        <v>1113</v>
      </c>
      <c r="M24" s="76" t="s">
        <v>138</v>
      </c>
    </row>
    <row r="25" customFormat="false" ht="15" hidden="false" customHeight="true" outlineLevel="0" collapsed="false">
      <c r="B25" s="66" t="s">
        <v>1116</v>
      </c>
      <c r="C25" s="69" t="n">
        <v>15</v>
      </c>
      <c r="D25" s="14" t="s">
        <v>1115</v>
      </c>
      <c r="E25" s="68" t="n">
        <v>5</v>
      </c>
      <c r="F25" s="69" t="s">
        <v>627</v>
      </c>
      <c r="G25" s="70" t="n">
        <f aca="false">IF($F25="","",IFERROR(LOOKUP(VALUE(LEFT($F25&amp;"",FIND("-",$F25&amp;"-")-1)),$C$50:$C$58,$D$50:$D$58),""))</f>
        <v>0</v>
      </c>
      <c r="H25" s="71" t="n">
        <v>0</v>
      </c>
      <c r="I25" s="72" t="str">
        <f aca="false">IF($H25="","n/a",IF($G25=$H25,"ok","MISMATCH"))</f>
        <v>ok</v>
      </c>
      <c r="J25" s="144" t="n">
        <v>15000</v>
      </c>
      <c r="K25" s="16" t="s">
        <v>1113</v>
      </c>
      <c r="M25" s="76" t="s">
        <v>127</v>
      </c>
    </row>
    <row r="26" customFormat="false" ht="15" hidden="false" customHeight="true" outlineLevel="0" collapsed="false">
      <c r="B26" s="66" t="s">
        <v>1117</v>
      </c>
      <c r="C26" s="151" t="n">
        <v>16</v>
      </c>
      <c r="D26" s="14" t="s">
        <v>1115</v>
      </c>
      <c r="E26" s="68" t="n">
        <v>6</v>
      </c>
      <c r="F26" s="69" t="s">
        <v>629</v>
      </c>
      <c r="G26" s="70" t="n">
        <f aca="false">IF($F26="","",IFERROR(LOOKUP(VALUE(LEFT($F26&amp;"",FIND("-",$F26&amp;"-")-1)),$C$50:$C$58,$D$50:$D$58),""))</f>
        <v>0</v>
      </c>
      <c r="H26" s="71"/>
      <c r="I26" s="72" t="str">
        <f aca="false">IF($H26="","n/a",IF($G26=$H26,"ok","MISMATCH"))</f>
        <v>n/a</v>
      </c>
      <c r="J26" s="144" t="n">
        <v>13000</v>
      </c>
      <c r="K26" s="74" t="s">
        <v>1118</v>
      </c>
      <c r="M26" s="38" t="s">
        <v>1117</v>
      </c>
    </row>
    <row r="27" customFormat="false" ht="15" hidden="false" customHeight="true" outlineLevel="0" collapsed="false">
      <c r="B27" s="66" t="s">
        <v>171</v>
      </c>
      <c r="C27" s="69" t="n">
        <v>17</v>
      </c>
      <c r="D27" s="14" t="s">
        <v>1119</v>
      </c>
      <c r="E27" s="68" t="n">
        <v>1</v>
      </c>
      <c r="F27" s="69" t="s">
        <v>657</v>
      </c>
      <c r="G27" s="70" t="n">
        <f aca="false">IF($F27="","",IFERROR(LOOKUP(VALUE(LEFT($F27&amp;"",FIND("-",$F27&amp;"-")-1)),$C$50:$C$58,$D$50:$D$58),""))</f>
        <v>0</v>
      </c>
      <c r="H27" s="71" t="n">
        <v>0</v>
      </c>
      <c r="I27" s="72" t="str">
        <f aca="false">IF($H27="","n/a",IF($G27=$H27,"ok","MISMATCH"))</f>
        <v>ok</v>
      </c>
      <c r="J27" s="144" t="n">
        <v>5500</v>
      </c>
      <c r="K27" s="16" t="s">
        <v>746</v>
      </c>
      <c r="M27" s="38" t="s">
        <v>171</v>
      </c>
    </row>
    <row r="28" customFormat="false" ht="15" hidden="false" customHeight="true" outlineLevel="0" collapsed="false">
      <c r="B28" s="66" t="s">
        <v>281</v>
      </c>
      <c r="C28" s="151" t="n">
        <v>18</v>
      </c>
      <c r="D28" s="14" t="s">
        <v>1119</v>
      </c>
      <c r="E28" s="68" t="n">
        <v>2</v>
      </c>
      <c r="F28" s="69" t="s">
        <v>660</v>
      </c>
      <c r="G28" s="70" t="n">
        <f aca="false">IF($F28="","",IFERROR(LOOKUP(VALUE(LEFT($F28&amp;"",FIND("-",$F28&amp;"-")-1)),$C$50:$C$58,$D$50:$D$58),""))</f>
        <v>0</v>
      </c>
      <c r="H28" s="71" t="n">
        <v>0</v>
      </c>
      <c r="I28" s="72" t="str">
        <f aca="false">IF($H28="","n/a",IF($G28=$H28,"ok","MISMATCH"))</f>
        <v>ok</v>
      </c>
      <c r="J28" s="144" t="n">
        <v>5000</v>
      </c>
      <c r="K28" s="74" t="s">
        <v>1120</v>
      </c>
      <c r="M28" s="38" t="s">
        <v>281</v>
      </c>
    </row>
    <row r="29" customFormat="false" ht="15" hidden="false" customHeight="true" outlineLevel="0" collapsed="false">
      <c r="B29" s="66" t="s">
        <v>1121</v>
      </c>
      <c r="C29" s="69" t="n">
        <v>19</v>
      </c>
      <c r="D29" s="14" t="s">
        <v>1119</v>
      </c>
      <c r="E29" s="68" t="n">
        <v>4</v>
      </c>
      <c r="F29" s="69" t="s">
        <v>657</v>
      </c>
      <c r="G29" s="70" t="n">
        <f aca="false">IF($F29="","",IFERROR(LOOKUP(VALUE(LEFT($F29&amp;"",FIND("-",$F29&amp;"-")-1)),$C$50:$C$58,$D$50:$D$58),""))</f>
        <v>0</v>
      </c>
      <c r="H29" s="71"/>
      <c r="I29" s="72" t="str">
        <f aca="false">IF($H29="","n/a",IF($G29=$H29,"ok","MISMATCH"))</f>
        <v>n/a</v>
      </c>
      <c r="J29" s="144" t="n">
        <v>5500</v>
      </c>
      <c r="K29" s="16" t="s">
        <v>1113</v>
      </c>
      <c r="M29" s="38" t="s">
        <v>1121</v>
      </c>
    </row>
    <row r="30" customFormat="false" ht="15" hidden="false" customHeight="true" outlineLevel="0" collapsed="false">
      <c r="B30" s="66" t="s">
        <v>1122</v>
      </c>
      <c r="C30" s="69" t="n">
        <v>20</v>
      </c>
      <c r="D30" s="14" t="s">
        <v>1123</v>
      </c>
      <c r="E30" s="68" t="n">
        <v>1</v>
      </c>
      <c r="F30" s="69" t="s">
        <v>653</v>
      </c>
      <c r="G30" s="70" t="n">
        <f aca="false">IF($F30="","",IFERROR(LOOKUP(VALUE(LEFT($F30&amp;"",FIND("-",$F30&amp;"-")-1)),$C$50:$C$58,$D$50:$D$58),""))</f>
        <v>0</v>
      </c>
      <c r="H30" s="71"/>
      <c r="I30" s="72" t="str">
        <f aca="false">IF($H30="","n/a",IF($G30=$H30,"ok","MISMATCH"))</f>
        <v>n/a</v>
      </c>
      <c r="J30" s="144" t="n">
        <v>6000</v>
      </c>
      <c r="K30" s="16" t="s">
        <v>1113</v>
      </c>
      <c r="M30" s="38" t="s">
        <v>1122</v>
      </c>
    </row>
    <row r="31" customFormat="false" ht="15" hidden="false" customHeight="true" outlineLevel="0" collapsed="false">
      <c r="B31" s="66" t="s">
        <v>1124</v>
      </c>
      <c r="C31" s="69" t="n">
        <v>21</v>
      </c>
      <c r="D31" s="14" t="s">
        <v>1123</v>
      </c>
      <c r="E31" s="68" t="n">
        <v>2</v>
      </c>
      <c r="F31" s="69" t="s">
        <v>660</v>
      </c>
      <c r="G31" s="70" t="n">
        <f aca="false">IF($F31="","",IFERROR(LOOKUP(VALUE(LEFT($F31&amp;"",FIND("-",$F31&amp;"-")-1)),$C$50:$C$58,$D$50:$D$58),""))</f>
        <v>0</v>
      </c>
      <c r="H31" s="71"/>
      <c r="I31" s="72" t="str">
        <f aca="false">IF($H31="","n/a",IF($G31=$H31,"ok","MISMATCH"))</f>
        <v>n/a</v>
      </c>
      <c r="J31" s="144" t="n">
        <v>5000</v>
      </c>
      <c r="K31" s="16" t="s">
        <v>1113</v>
      </c>
      <c r="M31" s="38" t="s">
        <v>1124</v>
      </c>
    </row>
    <row r="32" customFormat="false" ht="15" hidden="false" customHeight="true" outlineLevel="0" collapsed="false">
      <c r="B32" s="57" t="s">
        <v>218</v>
      </c>
      <c r="C32" s="60" t="n">
        <v>22</v>
      </c>
      <c r="D32" s="14" t="s">
        <v>1125</v>
      </c>
      <c r="E32" s="59" t="n">
        <v>1</v>
      </c>
      <c r="F32" s="60" t="s">
        <v>604</v>
      </c>
      <c r="G32" s="61" t="n">
        <f aca="false">IF($F32="","",IFERROR(LOOKUP(VALUE(LEFT($F32&amp;"",FIND("-",$F32&amp;"-")-1)),$C$50:$C$58,$D$50:$D$58),""))</f>
        <v>200</v>
      </c>
      <c r="H32" s="62" t="n">
        <v>200</v>
      </c>
      <c r="I32" s="63" t="str">
        <f aca="false">IF($H32="","n/a",IF($G32=$H32,"ok","MISMATCH"))</f>
        <v>ok</v>
      </c>
      <c r="J32" s="142" t="n">
        <v>55000</v>
      </c>
      <c r="K32" s="91" t="s">
        <v>1113</v>
      </c>
      <c r="M32" s="38" t="s">
        <v>218</v>
      </c>
    </row>
    <row r="33" customFormat="false" ht="15" hidden="false" customHeight="true" outlineLevel="0" collapsed="false">
      <c r="B33" s="57" t="s">
        <v>1126</v>
      </c>
      <c r="C33" s="60" t="n">
        <v>23</v>
      </c>
      <c r="D33" s="14" t="s">
        <v>1125</v>
      </c>
      <c r="E33" s="59" t="n">
        <v>2</v>
      </c>
      <c r="F33" s="60" t="s">
        <v>608</v>
      </c>
      <c r="G33" s="61" t="n">
        <f aca="false">IF($F33="","",IFERROR(LOOKUP(VALUE(LEFT($F33&amp;"",FIND("-",$F33&amp;"-")-1)),$C$50:$C$58,$D$50:$D$58),""))</f>
        <v>150</v>
      </c>
      <c r="H33" s="62"/>
      <c r="I33" s="63" t="str">
        <f aca="false">IF($H33="","n/a",IF($G33=$H33,"ok","MISMATCH"))</f>
        <v>n/a</v>
      </c>
      <c r="J33" s="142" t="n">
        <v>45000</v>
      </c>
      <c r="K33" s="91" t="s">
        <v>1113</v>
      </c>
      <c r="M33" s="38" t="s">
        <v>1126</v>
      </c>
    </row>
    <row r="34" customFormat="false" ht="15" hidden="false" customHeight="true" outlineLevel="0" collapsed="false">
      <c r="B34" s="66" t="s">
        <v>1127</v>
      </c>
      <c r="C34" s="69" t="n">
        <v>24</v>
      </c>
      <c r="D34" s="14" t="s">
        <v>1125</v>
      </c>
      <c r="E34" s="68" t="n">
        <v>3</v>
      </c>
      <c r="F34" s="69" t="s">
        <v>614</v>
      </c>
      <c r="G34" s="70" t="n">
        <f aca="false">IF($F34="","",IFERROR(LOOKUP(VALUE(LEFT($F34&amp;"",FIND("-",$F34&amp;"-")-1)),$C$50:$C$58,$D$50:$D$58),""))</f>
        <v>0</v>
      </c>
      <c r="H34" s="71"/>
      <c r="I34" s="72" t="str">
        <f aca="false">IF($H34="","n/a",IF($G34=$H34,"ok","MISMATCH"))</f>
        <v>n/a</v>
      </c>
      <c r="J34" s="144" t="n">
        <v>27000</v>
      </c>
      <c r="K34" s="16" t="s">
        <v>1128</v>
      </c>
      <c r="M34" s="76" t="s">
        <v>152</v>
      </c>
    </row>
    <row r="35" customFormat="false" ht="15" hidden="false" customHeight="true" outlineLevel="0" collapsed="false">
      <c r="B35" s="66" t="s">
        <v>1129</v>
      </c>
      <c r="C35" s="151" t="n">
        <v>25</v>
      </c>
      <c r="D35" s="14" t="s">
        <v>1125</v>
      </c>
      <c r="E35" s="68" t="n">
        <v>4</v>
      </c>
      <c r="F35" s="69" t="s">
        <v>642</v>
      </c>
      <c r="G35" s="70" t="n">
        <f aca="false">IF($F35="","",IFERROR(LOOKUP(VALUE(LEFT($F35&amp;"",FIND("-",$F35&amp;"-")-1)),$C$50:$C$58,$D$50:$D$58),""))</f>
        <v>0</v>
      </c>
      <c r="H35" s="71"/>
      <c r="I35" s="72" t="str">
        <f aca="false">IF($H35="","n/a",IF($G35=$H35,"ok","MISMATCH"))</f>
        <v>n/a</v>
      </c>
      <c r="J35" s="144" t="n">
        <v>8000</v>
      </c>
      <c r="K35" s="74" t="s">
        <v>1130</v>
      </c>
      <c r="M35" s="38" t="s">
        <v>1129</v>
      </c>
    </row>
    <row r="36" customFormat="false" ht="15" hidden="false" customHeight="true" outlineLevel="0" collapsed="false">
      <c r="B36" s="66" t="s">
        <v>163</v>
      </c>
      <c r="C36" s="69" t="n">
        <v>26</v>
      </c>
      <c r="D36" s="14" t="s">
        <v>1125</v>
      </c>
      <c r="E36" s="68" t="n">
        <v>5</v>
      </c>
      <c r="F36" s="69" t="s">
        <v>524</v>
      </c>
      <c r="G36" s="70" t="n">
        <f aca="false">IF($F36="","",IFERROR(LOOKUP(VALUE(LEFT($F36&amp;"",FIND("-",$F36&amp;"-")-1)),$C$50:$C$58,$D$50:$D$58),""))</f>
        <v>0</v>
      </c>
      <c r="H36" s="71" t="n">
        <v>0</v>
      </c>
      <c r="I36" s="72" t="str">
        <f aca="false">IF($H36="","n/a",IF($G36=$H36,"ok","MISMATCH"))</f>
        <v>ok</v>
      </c>
      <c r="J36" s="144" t="n">
        <v>11000</v>
      </c>
      <c r="K36" s="16" t="s">
        <v>1113</v>
      </c>
      <c r="M36" s="38" t="s">
        <v>163</v>
      </c>
    </row>
    <row r="37" customFormat="false" ht="15" hidden="false" customHeight="true" outlineLevel="0" collapsed="false">
      <c r="B37" s="66" t="s">
        <v>1131</v>
      </c>
      <c r="C37" s="151" t="n">
        <v>27</v>
      </c>
      <c r="D37" s="14" t="s">
        <v>1125</v>
      </c>
      <c r="E37" s="68" t="n">
        <v>6</v>
      </c>
      <c r="F37" s="69" t="s">
        <v>639</v>
      </c>
      <c r="G37" s="70" t="n">
        <f aca="false">IF($F37="","",IFERROR(LOOKUP(VALUE(LEFT($F37&amp;"",FIND("-",$F37&amp;"-")-1)),$C$50:$C$58,$D$50:$D$58),""))</f>
        <v>0</v>
      </c>
      <c r="H37" s="71"/>
      <c r="I37" s="72" t="str">
        <f aca="false">IF($H37="","n/a",IF($G37=$H37,"ok","MISMATCH"))</f>
        <v>n/a</v>
      </c>
      <c r="J37" s="144" t="n">
        <v>9000</v>
      </c>
      <c r="K37" s="74" t="s">
        <v>1132</v>
      </c>
      <c r="M37" s="38" t="s">
        <v>1131</v>
      </c>
    </row>
    <row r="38" customFormat="false" ht="15" hidden="false" customHeight="true" outlineLevel="0" collapsed="false">
      <c r="B38" s="66" t="s">
        <v>145</v>
      </c>
      <c r="C38" s="69" t="n">
        <v>28</v>
      </c>
      <c r="D38" s="14" t="s">
        <v>1133</v>
      </c>
      <c r="E38" s="68" t="n">
        <v>1</v>
      </c>
      <c r="F38" s="69" t="s">
        <v>634</v>
      </c>
      <c r="G38" s="70" t="n">
        <f aca="false">IF($F38="","",IFERROR(LOOKUP(VALUE(LEFT($F38&amp;"",FIND("-",$F38&amp;"-")-1)),$C$50:$C$58,$D$50:$D$58),""))</f>
        <v>0</v>
      </c>
      <c r="H38" s="71" t="n">
        <v>0</v>
      </c>
      <c r="I38" s="72" t="str">
        <f aca="false">IF($H38="","n/a",IF($G38=$H38,"ok","MISMATCH"))</f>
        <v>ok</v>
      </c>
      <c r="J38" s="144" t="n">
        <v>10000</v>
      </c>
      <c r="K38" s="16" t="s">
        <v>1113</v>
      </c>
      <c r="M38" s="38" t="s">
        <v>145</v>
      </c>
    </row>
    <row r="39" customFormat="false" ht="15" hidden="false" customHeight="true" outlineLevel="0" collapsed="false">
      <c r="B39" s="66" t="s">
        <v>197</v>
      </c>
      <c r="C39" s="69" t="n">
        <v>29</v>
      </c>
      <c r="D39" s="14" t="s">
        <v>1133</v>
      </c>
      <c r="E39" s="68" t="n">
        <v>2</v>
      </c>
      <c r="F39" s="69" t="s">
        <v>635</v>
      </c>
      <c r="G39" s="70" t="n">
        <f aca="false">IF($F39="","",IFERROR(LOOKUP(VALUE(LEFT($F39&amp;"",FIND("-",$F39&amp;"-")-1)),$C$50:$C$58,$D$50:$D$58),""))</f>
        <v>0</v>
      </c>
      <c r="H39" s="71" t="n">
        <v>0</v>
      </c>
      <c r="I39" s="72" t="str">
        <f aca="false">IF($H39="","n/a",IF($G39=$H39,"ok","MISMATCH"))</f>
        <v>ok</v>
      </c>
      <c r="J39" s="144" t="n">
        <v>9500</v>
      </c>
      <c r="K39" s="16" t="s">
        <v>1113</v>
      </c>
      <c r="M39" s="38" t="s">
        <v>197</v>
      </c>
    </row>
    <row r="40" customFormat="false" ht="15" hidden="false" customHeight="true" outlineLevel="0" collapsed="false">
      <c r="B40" s="66" t="s">
        <v>511</v>
      </c>
      <c r="C40" s="69" t="n">
        <v>30</v>
      </c>
      <c r="D40" s="14" t="s">
        <v>613</v>
      </c>
      <c r="E40" s="68" t="n">
        <v>2</v>
      </c>
      <c r="F40" s="69" t="s">
        <v>641</v>
      </c>
      <c r="G40" s="70" t="n">
        <f aca="false">IF($F40="","",IFERROR(LOOKUP(VALUE(LEFT($F40&amp;"",FIND("-",$F40&amp;"-")-1)),$C$50:$C$58,$D$50:$D$58),""))</f>
        <v>0</v>
      </c>
      <c r="H40" s="71" t="n">
        <v>0</v>
      </c>
      <c r="I40" s="72" t="str">
        <f aca="false">IF($H40="","n/a",IF($G40=$H40,"ok","MISMATCH"))</f>
        <v>ok</v>
      </c>
      <c r="J40" s="144" t="n">
        <v>8500</v>
      </c>
      <c r="K40" s="16" t="s">
        <v>1134</v>
      </c>
      <c r="M40" s="38" t="s">
        <v>511</v>
      </c>
    </row>
    <row r="41" customFormat="false" ht="15" hidden="false" customHeight="true" outlineLevel="0" collapsed="false">
      <c r="B41" s="66" t="s">
        <v>322</v>
      </c>
      <c r="C41" s="69" t="n">
        <v>31</v>
      </c>
      <c r="D41" s="14" t="s">
        <v>613</v>
      </c>
      <c r="E41" s="68" t="n">
        <v>3</v>
      </c>
      <c r="F41" s="69" t="s">
        <v>649</v>
      </c>
      <c r="G41" s="70" t="n">
        <f aca="false">IF($F41="","",IFERROR(LOOKUP(VALUE(LEFT($F41&amp;"",FIND("-",$F41&amp;"-")-1)),$C$50:$C$58,$D$50:$D$58),""))</f>
        <v>0</v>
      </c>
      <c r="H41" s="71"/>
      <c r="I41" s="72" t="str">
        <f aca="false">IF($H41="","n/a",IF($G41=$H41,"ok","MISMATCH"))</f>
        <v>n/a</v>
      </c>
      <c r="J41" s="144" t="n">
        <v>6500</v>
      </c>
      <c r="K41" s="16" t="s">
        <v>1113</v>
      </c>
      <c r="M41" s="38" t="s">
        <v>322</v>
      </c>
    </row>
    <row r="42" customFormat="false" ht="15" hidden="false" customHeight="true" outlineLevel="0" collapsed="false">
      <c r="B42" s="66" t="s">
        <v>169</v>
      </c>
      <c r="C42" s="151" t="n">
        <v>32</v>
      </c>
      <c r="D42" s="14" t="s">
        <v>613</v>
      </c>
      <c r="E42" s="68" t="n">
        <v>4</v>
      </c>
      <c r="F42" s="69" t="s">
        <v>653</v>
      </c>
      <c r="G42" s="70" t="n">
        <f aca="false">IF($F42="","",IFERROR(LOOKUP(VALUE(LEFT($F42&amp;"",FIND("-",$F42&amp;"-")-1)),$C$50:$C$58,$D$50:$D$58),""))</f>
        <v>0</v>
      </c>
      <c r="H42" s="71" t="n">
        <v>0</v>
      </c>
      <c r="I42" s="72" t="str">
        <f aca="false">IF($H42="","n/a",IF($G42=$H42,"ok","MISMATCH"))</f>
        <v>ok</v>
      </c>
      <c r="J42" s="144" t="n">
        <v>6000</v>
      </c>
      <c r="K42" s="74" t="s">
        <v>1135</v>
      </c>
      <c r="M42" s="38" t="s">
        <v>169</v>
      </c>
    </row>
    <row r="44" customFormat="false" ht="15" hidden="false" customHeight="true" outlineLevel="0" collapsed="false">
      <c r="B44" s="11" t="s">
        <v>459</v>
      </c>
      <c r="G44" s="77" t="n">
        <f aca="false">SUM(G11:G42)</f>
        <v>3050</v>
      </c>
    </row>
    <row r="45" customFormat="false" ht="15" hidden="false" customHeight="true" outlineLevel="0" collapsed="false">
      <c r="B45" s="18" t="s">
        <v>1136</v>
      </c>
    </row>
    <row r="48" customFormat="false" ht="15" hidden="false" customHeight="true" outlineLevel="0" collapsed="false">
      <c r="B48" s="11" t="s">
        <v>461</v>
      </c>
    </row>
    <row r="49" customFormat="false" ht="23.25" hidden="false" customHeight="true" outlineLevel="0" collapsed="false">
      <c r="B49" s="4" t="s">
        <v>664</v>
      </c>
      <c r="C49" s="4" t="s">
        <v>464</v>
      </c>
    </row>
    <row r="50" customFormat="false" ht="15" hidden="false" customHeight="true" outlineLevel="0" collapsed="false">
      <c r="C50" s="13" t="n">
        <v>1</v>
      </c>
      <c r="D50" s="79" t="n">
        <v>1000</v>
      </c>
      <c r="E50" s="80"/>
    </row>
    <row r="51" customFormat="false" ht="15" hidden="false" customHeight="true" outlineLevel="0" collapsed="false">
      <c r="C51" s="13" t="n">
        <v>2</v>
      </c>
      <c r="D51" s="79" t="n">
        <v>750</v>
      </c>
      <c r="E51" s="80"/>
    </row>
    <row r="52" customFormat="false" ht="15" hidden="false" customHeight="true" outlineLevel="0" collapsed="false">
      <c r="C52" s="13" t="n">
        <v>3</v>
      </c>
      <c r="D52" s="79" t="n">
        <v>500</v>
      </c>
      <c r="E52" s="80"/>
    </row>
    <row r="53" customFormat="false" ht="15" hidden="false" customHeight="true" outlineLevel="0" collapsed="false">
      <c r="C53" s="13" t="n">
        <v>4</v>
      </c>
      <c r="D53" s="79" t="n">
        <v>300</v>
      </c>
      <c r="E53" s="80"/>
    </row>
    <row r="54" customFormat="false" ht="15" hidden="false" customHeight="true" outlineLevel="0" collapsed="false">
      <c r="C54" s="13" t="n">
        <v>5</v>
      </c>
      <c r="D54" s="79" t="n">
        <v>200</v>
      </c>
      <c r="E54" s="80"/>
    </row>
    <row r="55" customFormat="false" ht="15" hidden="false" customHeight="true" outlineLevel="0" collapsed="false">
      <c r="C55" s="13" t="n">
        <v>6</v>
      </c>
      <c r="D55" s="79" t="n">
        <v>150</v>
      </c>
      <c r="E55" s="80"/>
    </row>
    <row r="56" customFormat="false" ht="15" hidden="false" customHeight="true" outlineLevel="0" collapsed="false">
      <c r="C56" s="13" t="n">
        <v>7</v>
      </c>
      <c r="D56" s="79" t="n">
        <v>100</v>
      </c>
      <c r="E56" s="80"/>
    </row>
    <row r="57" customFormat="false" ht="15" hidden="false" customHeight="true" outlineLevel="0" collapsed="false">
      <c r="C57" s="13" t="n">
        <v>8</v>
      </c>
      <c r="D57" s="79" t="n">
        <v>50</v>
      </c>
      <c r="E57" s="80"/>
    </row>
    <row r="58" customFormat="false" ht="15" hidden="false" customHeight="true" outlineLevel="0" collapsed="false">
      <c r="C58" s="13" t="n">
        <v>9</v>
      </c>
      <c r="D58" s="79" t="n">
        <v>0</v>
      </c>
      <c r="E58" s="80" t="s">
        <v>665</v>
      </c>
    </row>
    <row r="61" customFormat="false" ht="15" hidden="false" customHeight="true" outlineLevel="0" collapsed="false">
      <c r="B61" s="11" t="s">
        <v>1137</v>
      </c>
    </row>
    <row r="62" customFormat="false" ht="15" hidden="false" customHeight="true" outlineLevel="0" collapsed="false">
      <c r="B62" s="3" t="s">
        <v>1138</v>
      </c>
      <c r="C62" s="3"/>
      <c r="D62" s="3"/>
      <c r="E62" s="3"/>
      <c r="F62" s="3"/>
      <c r="G62" s="3"/>
      <c r="H62" s="3"/>
      <c r="I62" s="3"/>
      <c r="J62" s="3"/>
      <c r="K62" s="3"/>
    </row>
    <row r="63" customFormat="false" ht="15" hidden="false" customHeight="true" outlineLevel="0" collapsed="false">
      <c r="B63" s="3"/>
      <c r="C63" s="3"/>
      <c r="D63" s="3"/>
      <c r="E63" s="3"/>
      <c r="F63" s="3"/>
      <c r="G63" s="3"/>
      <c r="H63" s="3"/>
      <c r="I63" s="3"/>
      <c r="J63" s="3"/>
      <c r="K63" s="3"/>
    </row>
    <row r="64" customFormat="false" ht="15" hidden="false" customHeight="true" outlineLevel="0" collapsed="false">
      <c r="B64" s="3"/>
      <c r="C64" s="3"/>
      <c r="D64" s="3"/>
      <c r="E64" s="3"/>
      <c r="F64" s="3"/>
      <c r="G64" s="3"/>
      <c r="H64" s="3"/>
      <c r="I64" s="3"/>
      <c r="J64" s="3"/>
      <c r="K64" s="3"/>
    </row>
    <row r="65" customFormat="false" ht="15" hidden="false" customHeight="true" outlineLevel="0" collapsed="false">
      <c r="B65" s="3"/>
      <c r="C65" s="3"/>
      <c r="D65" s="3"/>
      <c r="E65" s="3"/>
      <c r="F65" s="3"/>
      <c r="G65" s="3"/>
      <c r="H65" s="3"/>
      <c r="I65" s="3"/>
      <c r="J65" s="3"/>
      <c r="K65" s="3"/>
    </row>
    <row r="66" customFormat="false" ht="15" hidden="false" customHeight="true" outlineLevel="0" collapsed="false">
      <c r="B66" s="3"/>
      <c r="C66" s="3"/>
      <c r="D66" s="3"/>
      <c r="E66" s="3"/>
      <c r="F66" s="3"/>
      <c r="G66" s="3"/>
      <c r="H66" s="3"/>
      <c r="I66" s="3"/>
      <c r="J66" s="3"/>
      <c r="K66" s="3"/>
    </row>
    <row r="67" customFormat="false" ht="15" hidden="false" customHeight="true" outlineLevel="0" collapsed="false">
      <c r="B67" s="3"/>
      <c r="C67" s="3"/>
      <c r="D67" s="3"/>
      <c r="E67" s="3"/>
      <c r="F67" s="3"/>
      <c r="G67" s="3"/>
      <c r="H67" s="3"/>
      <c r="I67" s="3"/>
      <c r="J67" s="3"/>
      <c r="K67" s="3"/>
    </row>
    <row r="68" customFormat="false" ht="15" hidden="false" customHeight="true" outlineLevel="0" collapsed="false">
      <c r="B68" s="3"/>
      <c r="C68" s="3"/>
      <c r="D68" s="3"/>
      <c r="E68" s="3"/>
      <c r="F68" s="3"/>
      <c r="G68" s="3"/>
      <c r="H68" s="3"/>
      <c r="I68" s="3"/>
      <c r="J68" s="3"/>
      <c r="K68" s="3"/>
    </row>
    <row r="70" customFormat="false" ht="15" hidden="false" customHeight="true" outlineLevel="0" collapsed="false">
      <c r="B70" s="4" t="s">
        <v>1104</v>
      </c>
      <c r="C70" s="4" t="s">
        <v>1139</v>
      </c>
      <c r="D70" s="4" t="s">
        <v>1059</v>
      </c>
      <c r="E70" s="4" t="s">
        <v>1061</v>
      </c>
      <c r="F70" s="4" t="s">
        <v>1140</v>
      </c>
    </row>
    <row r="71" customFormat="false" ht="15" hidden="false" customHeight="true" outlineLevel="0" collapsed="false">
      <c r="B71" s="81" t="s">
        <v>1107</v>
      </c>
      <c r="C71" s="13" t="n">
        <f aca="false">COUNTIF($D$11:$D$42,$B71)</f>
        <v>1</v>
      </c>
      <c r="D71" s="13" t="n">
        <f aca="false">SUMPRODUCT(($D$11:$D$42=$B71)*($G$11:$G$42&gt;0))</f>
        <v>1</v>
      </c>
      <c r="E71" s="130" t="n">
        <f aca="false">IFERROR(SUMPRODUCT(MAX(($D$11:$D$42=$B71)*$G$11:$G$42)),0)</f>
        <v>300</v>
      </c>
      <c r="F71" s="13"/>
    </row>
    <row r="72" customFormat="false" ht="15" hidden="false" customHeight="true" outlineLevel="0" collapsed="false">
      <c r="B72" s="81" t="s">
        <v>1109</v>
      </c>
      <c r="C72" s="13" t="n">
        <f aca="false">COUNTIF($D$11:$D$42,$B72)</f>
        <v>4</v>
      </c>
      <c r="D72" s="13" t="n">
        <f aca="false">SUMPRODUCT(($D$11:$D$42=$B72)*($G$11:$G$42&gt;0))</f>
        <v>2</v>
      </c>
      <c r="E72" s="130" t="n">
        <f aca="false">IFERROR(SUMPRODUCT(MAX(($D$11:$D$42=$B72)*$G$11:$G$42)),0)</f>
        <v>100</v>
      </c>
      <c r="F72" s="13"/>
    </row>
    <row r="73" customFormat="false" ht="15" hidden="false" customHeight="true" outlineLevel="0" collapsed="false">
      <c r="B73" s="81" t="s">
        <v>1114</v>
      </c>
      <c r="C73" s="13" t="n">
        <f aca="false">COUNTIF($D$11:$D$42,$B73)</f>
        <v>5</v>
      </c>
      <c r="D73" s="13" t="n">
        <f aca="false">SUMPRODUCT(($D$11:$D$42=$B73)*($G$11:$G$42&gt;0))</f>
        <v>3</v>
      </c>
      <c r="E73" s="130" t="n">
        <f aca="false">IFERROR(SUMPRODUCT(MAX(($D$11:$D$42=$B73)*$G$11:$G$42)),0)</f>
        <v>1000</v>
      </c>
      <c r="F73" s="13"/>
    </row>
    <row r="74" customFormat="false" ht="15" hidden="false" customHeight="true" outlineLevel="0" collapsed="false">
      <c r="B74" s="81" t="s">
        <v>1115</v>
      </c>
      <c r="C74" s="13" t="n">
        <f aca="false">COUNTIF($D$11:$D$42,$B74)</f>
        <v>6</v>
      </c>
      <c r="D74" s="13" t="n">
        <f aca="false">SUMPRODUCT(($D$11:$D$42=$B74)*($G$11:$G$42&gt;0))</f>
        <v>0</v>
      </c>
      <c r="E74" s="130" t="n">
        <f aca="false">IFERROR(SUMPRODUCT(MAX(($D$11:$D$42=$B74)*$G$11:$G$42)),0)</f>
        <v>0</v>
      </c>
      <c r="F74" s="13"/>
    </row>
    <row r="75" customFormat="false" ht="15" hidden="false" customHeight="true" outlineLevel="0" collapsed="false">
      <c r="B75" s="81" t="s">
        <v>1119</v>
      </c>
      <c r="C75" s="13" t="n">
        <f aca="false">COUNTIF($D$11:$D$42,$B75)</f>
        <v>3</v>
      </c>
      <c r="D75" s="13" t="n">
        <f aca="false">SUMPRODUCT(($D$11:$D$42=$B75)*($G$11:$G$42&gt;0))</f>
        <v>0</v>
      </c>
      <c r="E75" s="130" t="n">
        <f aca="false">IFERROR(SUMPRODUCT(MAX(($D$11:$D$42=$B75)*$G$11:$G$42)),0)</f>
        <v>0</v>
      </c>
      <c r="F75" s="13"/>
    </row>
    <row r="76" customFormat="false" ht="15" hidden="false" customHeight="true" outlineLevel="0" collapsed="false">
      <c r="B76" s="81" t="s">
        <v>1123</v>
      </c>
      <c r="C76" s="13" t="n">
        <f aca="false">COUNTIF($D$11:$D$42,$B76)</f>
        <v>2</v>
      </c>
      <c r="D76" s="13" t="n">
        <f aca="false">SUMPRODUCT(($D$11:$D$42=$B76)*($G$11:$G$42&gt;0))</f>
        <v>0</v>
      </c>
      <c r="E76" s="130" t="n">
        <f aca="false">IFERROR(SUMPRODUCT(MAX(($D$11:$D$42=$B76)*$G$11:$G$42)),0)</f>
        <v>0</v>
      </c>
      <c r="F76" s="13"/>
    </row>
    <row r="77" customFormat="false" ht="15" hidden="false" customHeight="true" outlineLevel="0" collapsed="false">
      <c r="B77" s="81" t="s">
        <v>1125</v>
      </c>
      <c r="C77" s="13" t="n">
        <f aca="false">COUNTIF($D$11:$D$42,$B77)</f>
        <v>6</v>
      </c>
      <c r="D77" s="13" t="n">
        <f aca="false">SUMPRODUCT(($D$11:$D$42=$B77)*($G$11:$G$42&gt;0))</f>
        <v>2</v>
      </c>
      <c r="E77" s="130" t="n">
        <f aca="false">IFERROR(SUMPRODUCT(MAX(($D$11:$D$42=$B77)*$G$11:$G$42)),0)</f>
        <v>200</v>
      </c>
      <c r="F77" s="13"/>
    </row>
    <row r="78" customFormat="false" ht="15" hidden="false" customHeight="true" outlineLevel="0" collapsed="false">
      <c r="B78" s="81" t="s">
        <v>1133</v>
      </c>
      <c r="C78" s="13" t="n">
        <f aca="false">COUNTIF($D$11:$D$42,$B78)</f>
        <v>2</v>
      </c>
      <c r="D78" s="13" t="n">
        <f aca="false">SUMPRODUCT(($D$11:$D$42=$B78)*($G$11:$G$42&gt;0))</f>
        <v>0</v>
      </c>
      <c r="E78" s="130" t="n">
        <f aca="false">IFERROR(SUMPRODUCT(MAX(($D$11:$D$42=$B78)*$G$11:$G$42)),0)</f>
        <v>0</v>
      </c>
      <c r="F78" s="13"/>
    </row>
    <row r="79" customFormat="false" ht="15" hidden="false" customHeight="true" outlineLevel="0" collapsed="false">
      <c r="B79" s="81" t="s">
        <v>613</v>
      </c>
      <c r="C79" s="13" t="n">
        <f aca="false">COUNTIF($D$11:$D$42,$B79)</f>
        <v>3</v>
      </c>
      <c r="D79" s="13" t="n">
        <f aca="false">SUMPRODUCT(($D$11:$D$42=$B79)*($G$11:$G$42&gt;0))</f>
        <v>0</v>
      </c>
      <c r="E79" s="130" t="n">
        <f aca="false">IFERROR(SUMPRODUCT(MAX(($D$11:$D$42=$B79)*$G$11:$G$42)),0)</f>
        <v>0</v>
      </c>
      <c r="F79" s="13"/>
    </row>
    <row r="81" customFormat="false" ht="15" hidden="false" customHeight="true" outlineLevel="0" collapsed="false">
      <c r="B81" s="18" t="s">
        <v>1141</v>
      </c>
    </row>
  </sheetData>
  <sheetProtection sheet="true" formatCells="false" selectLockedCells="true" selectUnlockedCells="true"/>
  <mergeCells count="1">
    <mergeCell ref="B62:K68"/>
  </mergeCells>
  <dataValidations count="2">
    <dataValidation allowBlank="true" error="Pick a placement from the list." errorStyle="stop" errorTitle="Use the dropdown" operator="between" showDropDown="false" showErrorMessage="false" showInputMessage="false" sqref="F11:F42" type="list">
      <formula1>"1,2,3,4,5,6,7,8,9,10,11,12,13,14,15,16,17,18,19,20,21,22,23,24,25,26,27-28,29-30,31-32"</formula1>
      <formula2>0</formula2>
    </dataValidation>
    <dataValidation allowBlank="true" errorStyle="stop" operator="between" showDropDown="false" showErrorMessage="false" showInputMessage="false" sqref="D11:D42" type="list">
      <formula1>"Invited,Birmingham,Atlanta,NA online,LATAM N,LATAM S,EU online,APAC,MENA"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0" topLeftCell="D11" activePane="bottomRight" state="frozen"/>
      <selection pane="topLeft" activeCell="A1" activeCellId="0" sqref="A1"/>
      <selection pane="topRight" activeCell="D1" activeCellId="0" sqref="D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15"/>
    <col collapsed="false" customWidth="true" hidden="false" outlineLevel="0" max="4" min="4" style="1" width="7"/>
    <col collapsed="false" customWidth="true" hidden="false" outlineLevel="0" max="6" min="5" style="1" width="10"/>
    <col collapsed="false" customWidth="true" hidden="false" outlineLevel="0" max="7" min="7" style="1" width="11"/>
    <col collapsed="false" customWidth="true" hidden="false" outlineLevel="0" max="8" min="8" style="1" width="12"/>
    <col collapsed="false" customWidth="true" hidden="false" outlineLevel="0" max="9" min="9" style="1" width="15"/>
    <col collapsed="false" customWidth="true" hidden="false" outlineLevel="0" max="10" min="10" style="1" width="10"/>
    <col collapsed="false" customWidth="true" hidden="false" outlineLevel="0" max="11" min="11" style="1" width="12"/>
    <col collapsed="false" customWidth="true" hidden="false" outlineLevel="0" max="12" min="12" style="1" width="30"/>
  </cols>
  <sheetData>
    <row r="2" customFormat="false" ht="18" hidden="false" customHeight="true" outlineLevel="0" collapsed="false">
      <c r="B2" s="2" t="s">
        <v>1142</v>
      </c>
    </row>
    <row r="3" customFormat="false" ht="15" hidden="false" customHeight="true" outlineLevel="0" collapsed="false">
      <c r="B3" s="18" t="s">
        <v>1143</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1066</v>
      </c>
      <c r="D6" s="28" t="s">
        <v>549</v>
      </c>
      <c r="F6" s="28" t="s">
        <v>1144</v>
      </c>
      <c r="H6" s="28" t="s">
        <v>1145</v>
      </c>
      <c r="J6" s="28" t="s">
        <v>1146</v>
      </c>
      <c r="L6" s="28" t="s">
        <v>553</v>
      </c>
    </row>
    <row r="8" customFormat="false" ht="15" hidden="false" customHeight="true" outlineLevel="0" collapsed="false">
      <c r="B8" s="11" t="s">
        <v>416</v>
      </c>
    </row>
    <row r="9" customFormat="false" ht="15" hidden="false" customHeight="true" outlineLevel="0" collapsed="false">
      <c r="B9" s="18" t="s">
        <v>1147</v>
      </c>
    </row>
    <row r="10" customFormat="false" ht="34.5" hidden="false" customHeight="true" outlineLevel="0" collapsed="false">
      <c r="B10" s="4" t="s">
        <v>418</v>
      </c>
      <c r="C10" s="4" t="s">
        <v>1148</v>
      </c>
      <c r="D10" s="4" t="s">
        <v>541</v>
      </c>
      <c r="E10" s="4" t="s">
        <v>1149</v>
      </c>
      <c r="F10" s="4" t="s">
        <v>1150</v>
      </c>
      <c r="G10" s="4" t="s">
        <v>421</v>
      </c>
      <c r="H10" s="4" t="s">
        <v>422</v>
      </c>
      <c r="I10" s="4" t="s">
        <v>423</v>
      </c>
      <c r="J10" s="4" t="s">
        <v>424</v>
      </c>
      <c r="K10" s="4" t="s">
        <v>425</v>
      </c>
      <c r="L10" s="4" t="s">
        <v>41</v>
      </c>
      <c r="N10" s="4" t="s">
        <v>426</v>
      </c>
    </row>
    <row r="11" customFormat="false" ht="15" hidden="false" customHeight="true" outlineLevel="0" collapsed="false">
      <c r="B11" s="66" t="s">
        <v>1151</v>
      </c>
      <c r="C11" s="14" t="s">
        <v>1152</v>
      </c>
      <c r="D11" s="69" t="n">
        <v>1</v>
      </c>
      <c r="E11" s="68" t="n">
        <v>1</v>
      </c>
      <c r="F11" s="71" t="n">
        <v>1605</v>
      </c>
      <c r="G11" s="69" t="s">
        <v>514</v>
      </c>
      <c r="H11" s="70" t="n">
        <f aca="false">IF($G11="","",IFERROR(LOOKUP(VALUE(LEFT($G11&amp;"",FIND("-",$G11&amp;"-")-1)),$C$34:$C$39,$D$34:$D$39),""))</f>
        <v>0</v>
      </c>
      <c r="I11" s="71"/>
      <c r="J11" s="72" t="str">
        <f aca="false">IF($I11="","n/a",IF($H11=$I11,"ok","MISMATCH"))</f>
        <v>n/a</v>
      </c>
      <c r="K11" s="144" t="n">
        <v>30000</v>
      </c>
      <c r="L11" s="74" t="s">
        <v>1153</v>
      </c>
      <c r="N11" s="38" t="s">
        <v>1151</v>
      </c>
    </row>
    <row r="12" customFormat="false" ht="15" hidden="false" customHeight="true" outlineLevel="0" collapsed="false">
      <c r="B12" s="48" t="s">
        <v>255</v>
      </c>
      <c r="C12" s="14" t="s">
        <v>1152</v>
      </c>
      <c r="D12" s="51" t="n">
        <v>2</v>
      </c>
      <c r="E12" s="50" t="n">
        <v>3</v>
      </c>
      <c r="F12" s="53" t="n">
        <v>1434</v>
      </c>
      <c r="G12" s="51" t="s">
        <v>430</v>
      </c>
      <c r="H12" s="52" t="n">
        <f aca="false">IF($G12="","",IFERROR(LOOKUP(VALUE(LEFT($G12&amp;"",FIND("-",$G12&amp;"-")-1)),$C$34:$C$39,$D$34:$D$39),""))</f>
        <v>500</v>
      </c>
      <c r="I12" s="53" t="n">
        <v>500</v>
      </c>
      <c r="J12" s="54" t="str">
        <f aca="false">IF($I12="","n/a",IF($H12=$I12,"ok","MISMATCH"))</f>
        <v>ok</v>
      </c>
      <c r="K12" s="140" t="n">
        <v>220000</v>
      </c>
      <c r="L12" s="135"/>
      <c r="N12" s="38" t="s">
        <v>255</v>
      </c>
    </row>
    <row r="13" customFormat="false" ht="15" hidden="false" customHeight="true" outlineLevel="0" collapsed="false">
      <c r="B13" s="39" t="s">
        <v>296</v>
      </c>
      <c r="C13" s="14" t="s">
        <v>1154</v>
      </c>
      <c r="D13" s="42" t="n">
        <v>3</v>
      </c>
      <c r="E13" s="41" t="n">
        <v>5</v>
      </c>
      <c r="F13" s="44" t="n">
        <v>1403</v>
      </c>
      <c r="G13" s="42" t="s">
        <v>428</v>
      </c>
      <c r="H13" s="43" t="n">
        <f aca="false">IF($G13="","",IFERROR(LOOKUP(VALUE(LEFT($G13&amp;"",FIND("-",$G13&amp;"-")-1)),$C$34:$C$39,$D$34:$D$39),""))</f>
        <v>750</v>
      </c>
      <c r="I13" s="44" t="n">
        <v>750</v>
      </c>
      <c r="J13" s="45" t="str">
        <f aca="false">IF($I13="","n/a",IF($H13=$I13,"ok","MISMATCH"))</f>
        <v>ok</v>
      </c>
      <c r="K13" s="139" t="n">
        <v>340000</v>
      </c>
      <c r="L13" s="133"/>
      <c r="N13" s="38" t="s">
        <v>296</v>
      </c>
    </row>
    <row r="14" customFormat="false" ht="15" hidden="false" customHeight="true" outlineLevel="0" collapsed="false">
      <c r="B14" s="57" t="s">
        <v>119</v>
      </c>
      <c r="C14" s="14" t="s">
        <v>1155</v>
      </c>
      <c r="D14" s="60" t="n">
        <v>4</v>
      </c>
      <c r="E14" s="59" t="n">
        <v>7</v>
      </c>
      <c r="F14" s="62" t="n">
        <v>1397</v>
      </c>
      <c r="G14" s="60" t="s">
        <v>432</v>
      </c>
      <c r="H14" s="61" t="n">
        <f aca="false">IF($G14="","",IFERROR(LOOKUP(VALUE(LEFT($G14&amp;"",FIND("-",$G14&amp;"-")-1)),$C$34:$C$39,$D$34:$D$39),""))</f>
        <v>200</v>
      </c>
      <c r="I14" s="62" t="n">
        <v>200</v>
      </c>
      <c r="J14" s="63" t="str">
        <f aca="false">IF($I14="","n/a",IF($H14=$I14,"ok","MISMATCH"))</f>
        <v>ok</v>
      </c>
      <c r="K14" s="142" t="n">
        <v>90000</v>
      </c>
      <c r="L14" s="129"/>
      <c r="N14" s="38" t="s">
        <v>119</v>
      </c>
    </row>
    <row r="15" customFormat="false" ht="15" hidden="false" customHeight="true" outlineLevel="0" collapsed="false">
      <c r="B15" s="66" t="s">
        <v>215</v>
      </c>
      <c r="C15" s="14" t="s">
        <v>1154</v>
      </c>
      <c r="D15" s="69" t="n">
        <v>5</v>
      </c>
      <c r="E15" s="68" t="n">
        <v>8</v>
      </c>
      <c r="F15" s="71" t="n">
        <v>1360</v>
      </c>
      <c r="G15" s="69" t="s">
        <v>506</v>
      </c>
      <c r="H15" s="70" t="n">
        <f aca="false">IF($G15="","",IFERROR(LOOKUP(VALUE(LEFT($G15&amp;"",FIND("-",$G15&amp;"-")-1)),$C$34:$C$39,$D$34:$D$39),""))</f>
        <v>0</v>
      </c>
      <c r="I15" s="71" t="n">
        <v>0</v>
      </c>
      <c r="J15" s="72" t="str">
        <f aca="false">IF($I15="","n/a",IF($H15=$I15,"ok","MISMATCH"))</f>
        <v>ok</v>
      </c>
      <c r="K15" s="144" t="n">
        <v>55000</v>
      </c>
      <c r="L15" s="74"/>
      <c r="N15" s="38" t="s">
        <v>215</v>
      </c>
    </row>
    <row r="16" customFormat="false" ht="15" hidden="false" customHeight="true" outlineLevel="0" collapsed="false">
      <c r="B16" s="66" t="s">
        <v>200</v>
      </c>
      <c r="C16" s="14" t="s">
        <v>1156</v>
      </c>
      <c r="D16" s="69" t="n">
        <v>6</v>
      </c>
      <c r="E16" s="68" t="n">
        <v>10</v>
      </c>
      <c r="F16" s="71" t="n">
        <v>1342</v>
      </c>
      <c r="G16" s="69" t="s">
        <v>506</v>
      </c>
      <c r="H16" s="70" t="n">
        <f aca="false">IF($G16="","",IFERROR(LOOKUP(VALUE(LEFT($G16&amp;"",FIND("-",$G16&amp;"-")-1)),$C$34:$C$39,$D$34:$D$39),""))</f>
        <v>0</v>
      </c>
      <c r="I16" s="71" t="n">
        <v>0</v>
      </c>
      <c r="J16" s="72" t="str">
        <f aca="false">IF($I16="","n/a",IF($H16=$I16,"ok","MISMATCH"))</f>
        <v>ok</v>
      </c>
      <c r="K16" s="144" t="n">
        <v>55000</v>
      </c>
      <c r="L16" s="74"/>
      <c r="N16" s="38" t="s">
        <v>200</v>
      </c>
    </row>
    <row r="17" customFormat="false" ht="15" hidden="false" customHeight="true" outlineLevel="0" collapsed="false">
      <c r="B17" s="29" t="s">
        <v>230</v>
      </c>
      <c r="C17" s="14" t="s">
        <v>1154</v>
      </c>
      <c r="D17" s="32" t="n">
        <v>7</v>
      </c>
      <c r="E17" s="31" t="n">
        <v>11</v>
      </c>
      <c r="F17" s="34" t="n">
        <v>1324</v>
      </c>
      <c r="G17" s="32" t="s">
        <v>427</v>
      </c>
      <c r="H17" s="33" t="n">
        <f aca="false">IF($G17="","",IFERROR(LOOKUP(VALUE(LEFT($G17&amp;"",FIND("-",$G17&amp;"-")-1)),$C$34:$C$39,$D$34:$D$39),""))</f>
        <v>1000</v>
      </c>
      <c r="I17" s="34" t="n">
        <v>1000</v>
      </c>
      <c r="J17" s="35" t="str">
        <f aca="false">IF($I17="","n/a",IF($H17=$I17,"ok","MISMATCH"))</f>
        <v>ok</v>
      </c>
      <c r="K17" s="137" t="n">
        <v>600000</v>
      </c>
      <c r="L17" s="132" t="s">
        <v>1157</v>
      </c>
      <c r="N17" s="38" t="s">
        <v>230</v>
      </c>
    </row>
    <row r="18" customFormat="false" ht="15" hidden="false" customHeight="true" outlineLevel="0" collapsed="false">
      <c r="B18" s="66" t="s">
        <v>1158</v>
      </c>
      <c r="C18" s="14" t="s">
        <v>1152</v>
      </c>
      <c r="D18" s="69" t="n">
        <v>8</v>
      </c>
      <c r="E18" s="68" t="n">
        <v>12</v>
      </c>
      <c r="F18" s="71" t="n">
        <v>1318</v>
      </c>
      <c r="G18" s="69" t="s">
        <v>514</v>
      </c>
      <c r="H18" s="70" t="n">
        <f aca="false">IF($G18="","",IFERROR(LOOKUP(VALUE(LEFT($G18&amp;"",FIND("-",$G18&amp;"-")-1)),$C$34:$C$39,$D$34:$D$39),""))</f>
        <v>0</v>
      </c>
      <c r="I18" s="71"/>
      <c r="J18" s="72" t="str">
        <f aca="false">IF($I18="","n/a",IF($H18=$I18,"ok","MISMATCH"))</f>
        <v>n/a</v>
      </c>
      <c r="K18" s="144" t="n">
        <v>30000</v>
      </c>
      <c r="L18" s="74"/>
      <c r="N18" s="38" t="s">
        <v>1158</v>
      </c>
    </row>
    <row r="19" customFormat="false" ht="15" hidden="false" customHeight="true" outlineLevel="0" collapsed="false">
      <c r="B19" s="66" t="s">
        <v>1159</v>
      </c>
      <c r="C19" s="14" t="s">
        <v>1156</v>
      </c>
      <c r="D19" s="69" t="n">
        <v>9</v>
      </c>
      <c r="E19" s="68" t="n">
        <v>16</v>
      </c>
      <c r="F19" s="71" t="n">
        <v>1301</v>
      </c>
      <c r="G19" s="69" t="s">
        <v>514</v>
      </c>
      <c r="H19" s="70" t="n">
        <f aca="false">IF($G19="","",IFERROR(LOOKUP(VALUE(LEFT($G19&amp;"",FIND("-",$G19&amp;"-")-1)),$C$34:$C$39,$D$34:$D$39),""))</f>
        <v>0</v>
      </c>
      <c r="I19" s="71"/>
      <c r="J19" s="72" t="str">
        <f aca="false">IF($I19="","n/a",IF($H19=$I19,"ok","MISMATCH"))</f>
        <v>n/a</v>
      </c>
      <c r="K19" s="144" t="n">
        <v>30000</v>
      </c>
      <c r="L19" s="74"/>
      <c r="N19" s="38" t="s">
        <v>1159</v>
      </c>
    </row>
    <row r="20" customFormat="false" ht="15" hidden="false" customHeight="true" outlineLevel="0" collapsed="false">
      <c r="B20" s="57" t="s">
        <v>197</v>
      </c>
      <c r="C20" s="14" t="s">
        <v>1155</v>
      </c>
      <c r="D20" s="60" t="n">
        <v>10</v>
      </c>
      <c r="E20" s="59" t="n">
        <v>17</v>
      </c>
      <c r="F20" s="62" t="n">
        <v>1296</v>
      </c>
      <c r="G20" s="60" t="s">
        <v>432</v>
      </c>
      <c r="H20" s="61" t="n">
        <f aca="false">IF($G20="","",IFERROR(LOOKUP(VALUE(LEFT($G20&amp;"",FIND("-",$G20&amp;"-")-1)),$C$34:$C$39,$D$34:$D$39),""))</f>
        <v>200</v>
      </c>
      <c r="I20" s="62" t="n">
        <v>200</v>
      </c>
      <c r="J20" s="63" t="str">
        <f aca="false">IF($I20="","n/a",IF($H20=$I20,"ok","MISMATCH"))</f>
        <v>ok</v>
      </c>
      <c r="K20" s="142" t="n">
        <v>90000</v>
      </c>
      <c r="L20" s="129"/>
      <c r="N20" s="38" t="s">
        <v>197</v>
      </c>
    </row>
    <row r="21" customFormat="false" ht="15" hidden="false" customHeight="true" outlineLevel="0" collapsed="false">
      <c r="B21" s="66" t="s">
        <v>187</v>
      </c>
      <c r="C21" s="14" t="s">
        <v>1152</v>
      </c>
      <c r="D21" s="69" t="n">
        <v>11</v>
      </c>
      <c r="E21" s="68" t="n">
        <v>17</v>
      </c>
      <c r="F21" s="71" t="n">
        <v>1296</v>
      </c>
      <c r="G21" s="69" t="s">
        <v>514</v>
      </c>
      <c r="H21" s="70" t="n">
        <f aca="false">IF($G21="","",IFERROR(LOOKUP(VALUE(LEFT($G21&amp;"",FIND("-",$G21&amp;"-")-1)),$C$34:$C$39,$D$34:$D$39),""))</f>
        <v>0</v>
      </c>
      <c r="I21" s="71" t="n">
        <v>0</v>
      </c>
      <c r="J21" s="72" t="str">
        <f aca="false">IF($I21="","n/a",IF($H21=$I21,"ok","MISMATCH"))</f>
        <v>ok</v>
      </c>
      <c r="K21" s="144" t="n">
        <v>30000</v>
      </c>
      <c r="L21" s="74"/>
      <c r="N21" s="38" t="s">
        <v>187</v>
      </c>
    </row>
    <row r="22" customFormat="false" ht="15" hidden="false" customHeight="true" outlineLevel="0" collapsed="false">
      <c r="B22" s="57" t="s">
        <v>202</v>
      </c>
      <c r="C22" s="14" t="s">
        <v>1154</v>
      </c>
      <c r="D22" s="60" t="n">
        <v>12</v>
      </c>
      <c r="E22" s="59" t="n">
        <v>19</v>
      </c>
      <c r="F22" s="62" t="n">
        <v>1291</v>
      </c>
      <c r="G22" s="60" t="s">
        <v>432</v>
      </c>
      <c r="H22" s="61" t="n">
        <f aca="false">IF($G22="","",IFERROR(LOOKUP(VALUE(LEFT($G22&amp;"",FIND("-",$G22&amp;"-")-1)),$C$34:$C$39,$D$34:$D$39),""))</f>
        <v>200</v>
      </c>
      <c r="I22" s="62" t="n">
        <v>200</v>
      </c>
      <c r="J22" s="63" t="str">
        <f aca="false">IF($I22="","n/a",IF($H22=$I22,"ok","MISMATCH"))</f>
        <v>ok</v>
      </c>
      <c r="K22" s="142" t="n">
        <v>90000</v>
      </c>
      <c r="L22" s="129" t="s">
        <v>1160</v>
      </c>
      <c r="N22" s="38" t="s">
        <v>202</v>
      </c>
    </row>
    <row r="23" customFormat="false" ht="15" hidden="false" customHeight="true" outlineLevel="0" collapsed="false">
      <c r="B23" s="57" t="s">
        <v>1161</v>
      </c>
      <c r="C23" s="14" t="s">
        <v>1155</v>
      </c>
      <c r="D23" s="60" t="n">
        <v>13</v>
      </c>
      <c r="E23" s="59" t="n">
        <v>23</v>
      </c>
      <c r="F23" s="62" t="n">
        <v>1241</v>
      </c>
      <c r="G23" s="60" t="s">
        <v>431</v>
      </c>
      <c r="H23" s="61" t="n">
        <f aca="false">IF($G23="","",IFERROR(LOOKUP(VALUE(LEFT($G23&amp;"",FIND("-",$G23&amp;"-")-1)),$C$34:$C$39,$D$34:$D$39),""))</f>
        <v>300</v>
      </c>
      <c r="I23" s="62" t="n">
        <v>300</v>
      </c>
      <c r="J23" s="63" t="str">
        <f aca="false">IF($I23="","n/a",IF($H23=$I23,"ok","MISMATCH"))</f>
        <v>ok</v>
      </c>
      <c r="K23" s="142" t="n">
        <v>140000</v>
      </c>
      <c r="L23" s="129" t="s">
        <v>1162</v>
      </c>
      <c r="N23" s="38" t="s">
        <v>1161</v>
      </c>
    </row>
    <row r="24" customFormat="false" ht="15" hidden="false" customHeight="true" outlineLevel="0" collapsed="false">
      <c r="B24" s="57" t="s">
        <v>218</v>
      </c>
      <c r="C24" s="14" t="s">
        <v>1155</v>
      </c>
      <c r="D24" s="60" t="n">
        <v>14</v>
      </c>
      <c r="E24" s="59" t="n">
        <v>29</v>
      </c>
      <c r="F24" s="62" t="n">
        <v>1220</v>
      </c>
      <c r="G24" s="60" t="s">
        <v>432</v>
      </c>
      <c r="H24" s="61" t="n">
        <f aca="false">IF($G24="","",IFERROR(LOOKUP(VALUE(LEFT($G24&amp;"",FIND("-",$G24&amp;"-")-1)),$C$34:$C$39,$D$34:$D$39),""))</f>
        <v>200</v>
      </c>
      <c r="I24" s="62" t="n">
        <v>200</v>
      </c>
      <c r="J24" s="63" t="str">
        <f aca="false">IF($I24="","n/a",IF($H24=$I24,"ok","MISMATCH"))</f>
        <v>ok</v>
      </c>
      <c r="K24" s="142" t="n">
        <v>90000</v>
      </c>
      <c r="L24" s="129" t="s">
        <v>1163</v>
      </c>
      <c r="N24" s="38" t="s">
        <v>218</v>
      </c>
    </row>
    <row r="25" customFormat="false" ht="15" hidden="false" customHeight="true" outlineLevel="0" collapsed="false">
      <c r="B25" s="66" t="s">
        <v>127</v>
      </c>
      <c r="C25" s="14" t="s">
        <v>1156</v>
      </c>
      <c r="D25" s="69" t="n">
        <v>15</v>
      </c>
      <c r="E25" s="68" t="n">
        <v>31</v>
      </c>
      <c r="F25" s="71" t="n">
        <v>1215</v>
      </c>
      <c r="G25" s="69" t="s">
        <v>506</v>
      </c>
      <c r="H25" s="70" t="n">
        <f aca="false">IF($G25="","",IFERROR(LOOKUP(VALUE(LEFT($G25&amp;"",FIND("-",$G25&amp;"-")-1)),$C$34:$C$39,$D$34:$D$39),""))</f>
        <v>0</v>
      </c>
      <c r="I25" s="71" t="n">
        <v>0</v>
      </c>
      <c r="J25" s="72" t="str">
        <f aca="false">IF($I25="","n/a",IF($H25=$I25,"ok","MISMATCH"))</f>
        <v>ok</v>
      </c>
      <c r="K25" s="144" t="n">
        <v>55000</v>
      </c>
      <c r="L25" s="74" t="s">
        <v>1164</v>
      </c>
      <c r="N25" s="38" t="s">
        <v>127</v>
      </c>
    </row>
    <row r="26" customFormat="false" ht="15" hidden="false" customHeight="true" outlineLevel="0" collapsed="false">
      <c r="B26" s="66" t="s">
        <v>326</v>
      </c>
      <c r="C26" s="14" t="s">
        <v>1155</v>
      </c>
      <c r="D26" s="69" t="n">
        <v>16</v>
      </c>
      <c r="E26" s="68" t="n">
        <v>41</v>
      </c>
      <c r="F26" s="71" t="n">
        <v>1126</v>
      </c>
      <c r="G26" s="69" t="s">
        <v>506</v>
      </c>
      <c r="H26" s="70" t="n">
        <f aca="false">IF($G26="","",IFERROR(LOOKUP(VALUE(LEFT($G26&amp;"",FIND("-",$G26&amp;"-")-1)),$C$34:$C$39,$D$34:$D$39),""))</f>
        <v>0</v>
      </c>
      <c r="I26" s="71" t="n">
        <v>0</v>
      </c>
      <c r="J26" s="72" t="str">
        <f aca="false">IF($I26="","n/a",IF($H26=$I26,"ok","MISMATCH"))</f>
        <v>ok</v>
      </c>
      <c r="K26" s="144" t="n">
        <v>55000</v>
      </c>
      <c r="L26" s="74" t="s">
        <v>1165</v>
      </c>
      <c r="N26" s="38" t="s">
        <v>326</v>
      </c>
    </row>
    <row r="28" customFormat="false" ht="15" hidden="false" customHeight="true" outlineLevel="0" collapsed="false">
      <c r="B28" s="11" t="s">
        <v>459</v>
      </c>
      <c r="H28" s="77" t="n">
        <f aca="false">SUM(H11:H26)</f>
        <v>3350</v>
      </c>
    </row>
    <row r="29" customFormat="false" ht="15" hidden="false" customHeight="true" outlineLevel="0" collapsed="false">
      <c r="B29" s="18" t="s">
        <v>1166</v>
      </c>
    </row>
    <row r="32" customFormat="false" ht="15" hidden="false" customHeight="true" outlineLevel="0" collapsed="false">
      <c r="B32" s="11" t="s">
        <v>461</v>
      </c>
    </row>
    <row r="33" customFormat="false" ht="15" hidden="false" customHeight="true" outlineLevel="0" collapsed="false">
      <c r="B33" s="4" t="s">
        <v>463</v>
      </c>
      <c r="C33" s="4" t="s">
        <v>464</v>
      </c>
      <c r="D33" s="4" t="s">
        <v>465</v>
      </c>
    </row>
    <row r="34" customFormat="false" ht="15" hidden="false" customHeight="true" outlineLevel="0" collapsed="false">
      <c r="C34" s="13" t="n">
        <v>1</v>
      </c>
      <c r="D34" s="79" t="n">
        <v>1000</v>
      </c>
      <c r="E34" s="80" t="s">
        <v>466</v>
      </c>
    </row>
    <row r="35" customFormat="false" ht="15" hidden="false" customHeight="true" outlineLevel="0" collapsed="false">
      <c r="C35" s="13" t="n">
        <v>2</v>
      </c>
      <c r="D35" s="79" t="n">
        <v>750</v>
      </c>
      <c r="E35" s="80" t="s">
        <v>467</v>
      </c>
    </row>
    <row r="36" customFormat="false" ht="15" hidden="false" customHeight="true" outlineLevel="0" collapsed="false">
      <c r="C36" s="13" t="n">
        <v>3</v>
      </c>
      <c r="D36" s="79" t="n">
        <v>500</v>
      </c>
      <c r="E36" s="80" t="s">
        <v>468</v>
      </c>
    </row>
    <row r="37" customFormat="false" ht="15" hidden="false" customHeight="true" outlineLevel="0" collapsed="false">
      <c r="C37" s="13" t="n">
        <v>4</v>
      </c>
      <c r="D37" s="79" t="n">
        <v>300</v>
      </c>
      <c r="E37" s="80" t="s">
        <v>469</v>
      </c>
    </row>
    <row r="38" customFormat="false" ht="15" hidden="false" customHeight="true" outlineLevel="0" collapsed="false">
      <c r="C38" s="13" t="n">
        <v>5</v>
      </c>
      <c r="D38" s="79" t="n">
        <v>200</v>
      </c>
      <c r="E38" s="80" t="s">
        <v>537</v>
      </c>
    </row>
    <row r="39" customFormat="false" ht="15" hidden="false" customHeight="true" outlineLevel="0" collapsed="false">
      <c r="C39" s="13" t="n">
        <v>9</v>
      </c>
      <c r="D39" s="79" t="n">
        <v>0</v>
      </c>
      <c r="E39" s="80" t="s">
        <v>1055</v>
      </c>
    </row>
    <row r="42" customFormat="false" ht="15" hidden="false" customHeight="true" outlineLevel="0" collapsed="false">
      <c r="B42" s="11" t="s">
        <v>1167</v>
      </c>
    </row>
    <row r="43" customFormat="false" ht="15" hidden="false" customHeight="true" outlineLevel="0" collapsed="false">
      <c r="B43" s="3" t="s">
        <v>1168</v>
      </c>
      <c r="C43" s="3"/>
      <c r="D43" s="3"/>
      <c r="E43" s="3"/>
      <c r="F43" s="3"/>
      <c r="G43" s="3"/>
      <c r="H43" s="3"/>
      <c r="I43" s="3"/>
      <c r="J43" s="3"/>
      <c r="K43" s="3"/>
      <c r="L43" s="3"/>
    </row>
    <row r="44" customFormat="false" ht="15" hidden="false" customHeight="true" outlineLevel="0" collapsed="false">
      <c r="B44" s="3"/>
      <c r="C44" s="3"/>
      <c r="D44" s="3"/>
      <c r="E44" s="3"/>
      <c r="F44" s="3"/>
      <c r="G44" s="3"/>
      <c r="H44" s="3"/>
      <c r="I44" s="3"/>
      <c r="J44" s="3"/>
      <c r="K44" s="3"/>
      <c r="L44" s="3"/>
    </row>
    <row r="45" customFormat="false" ht="15" hidden="false" customHeight="true" outlineLevel="0" collapsed="false">
      <c r="B45" s="3"/>
      <c r="C45" s="3"/>
      <c r="D45" s="3"/>
      <c r="E45" s="3"/>
      <c r="F45" s="3"/>
      <c r="G45" s="3"/>
      <c r="H45" s="3"/>
      <c r="I45" s="3"/>
      <c r="J45" s="3"/>
      <c r="K45" s="3"/>
      <c r="L45" s="3"/>
    </row>
    <row r="46" customFormat="false" ht="15" hidden="false" customHeight="true" outlineLevel="0" collapsed="false">
      <c r="B46" s="3"/>
      <c r="C46" s="3"/>
      <c r="D46" s="3"/>
      <c r="E46" s="3"/>
      <c r="F46" s="3"/>
      <c r="G46" s="3"/>
      <c r="H46" s="3"/>
      <c r="I46" s="3"/>
      <c r="J46" s="3"/>
      <c r="K46" s="3"/>
      <c r="L46" s="3"/>
    </row>
    <row r="47" customFormat="false" ht="15" hidden="false" customHeight="true" outlineLevel="0" collapsed="false">
      <c r="B47" s="3"/>
      <c r="C47" s="3"/>
      <c r="D47" s="3"/>
      <c r="E47" s="3"/>
      <c r="F47" s="3"/>
      <c r="G47" s="3"/>
      <c r="H47" s="3"/>
      <c r="I47" s="3"/>
      <c r="J47" s="3"/>
      <c r="K47" s="3"/>
      <c r="L47" s="3"/>
    </row>
    <row r="48" customFormat="false" ht="15" hidden="false" customHeight="true" outlineLevel="0" collapsed="false">
      <c r="B48" s="3"/>
      <c r="C48" s="3"/>
      <c r="D48" s="3"/>
      <c r="E48" s="3"/>
      <c r="F48" s="3"/>
      <c r="G48" s="3"/>
      <c r="H48" s="3"/>
      <c r="I48" s="3"/>
      <c r="J48" s="3"/>
      <c r="K48" s="3"/>
      <c r="L48" s="3"/>
    </row>
    <row r="49" customFormat="false" ht="15" hidden="false" customHeight="true" outlineLevel="0" collapsed="false">
      <c r="B49" s="3"/>
      <c r="C49" s="3"/>
      <c r="D49" s="3"/>
      <c r="E49" s="3"/>
      <c r="F49" s="3"/>
      <c r="G49" s="3"/>
      <c r="H49" s="3"/>
      <c r="I49" s="3"/>
      <c r="J49" s="3"/>
      <c r="K49" s="3"/>
      <c r="L49" s="3"/>
    </row>
    <row r="50" customFormat="false" ht="15" hidden="false" customHeight="true" outlineLevel="0" collapsed="false">
      <c r="B50" s="3"/>
      <c r="C50" s="3"/>
      <c r="D50" s="3"/>
      <c r="E50" s="3"/>
      <c r="F50" s="3"/>
      <c r="G50" s="3"/>
      <c r="H50" s="3"/>
      <c r="I50" s="3"/>
      <c r="J50" s="3"/>
      <c r="K50" s="3"/>
      <c r="L50" s="3"/>
    </row>
    <row r="52" customFormat="false" ht="15" hidden="false" customHeight="true" outlineLevel="0" collapsed="false">
      <c r="B52" s="4" t="s">
        <v>1149</v>
      </c>
      <c r="C52" s="4" t="s">
        <v>474</v>
      </c>
      <c r="D52" s="4" t="s">
        <v>1169</v>
      </c>
      <c r="E52" s="4" t="s">
        <v>1170</v>
      </c>
      <c r="F52" s="4" t="s">
        <v>875</v>
      </c>
    </row>
    <row r="53" customFormat="false" ht="15" hidden="false" customHeight="true" outlineLevel="0" collapsed="false">
      <c r="B53" s="13" t="n">
        <v>1</v>
      </c>
      <c r="C53" s="81" t="s">
        <v>1151</v>
      </c>
      <c r="D53" s="130" t="n">
        <v>1605</v>
      </c>
      <c r="E53" s="16" t="s">
        <v>1152</v>
      </c>
      <c r="F53" s="131" t="s">
        <v>117</v>
      </c>
    </row>
    <row r="54" customFormat="false" ht="15" hidden="false" customHeight="true" outlineLevel="0" collapsed="false">
      <c r="B54" s="13" t="n">
        <v>2</v>
      </c>
      <c r="C54" s="81" t="s">
        <v>1171</v>
      </c>
      <c r="D54" s="130" t="n">
        <v>1544</v>
      </c>
      <c r="E54" s="16" t="s">
        <v>1154</v>
      </c>
      <c r="F54" s="97" t="s">
        <v>877</v>
      </c>
    </row>
    <row r="55" customFormat="false" ht="15" hidden="false" customHeight="true" outlineLevel="0" collapsed="false">
      <c r="B55" s="13" t="n">
        <v>3</v>
      </c>
      <c r="C55" s="81" t="s">
        <v>1172</v>
      </c>
      <c r="D55" s="130" t="n">
        <v>1434</v>
      </c>
      <c r="E55" s="16" t="s">
        <v>1152</v>
      </c>
      <c r="F55" s="131" t="s">
        <v>117</v>
      </c>
    </row>
    <row r="56" customFormat="false" ht="15" hidden="false" customHeight="true" outlineLevel="0" collapsed="false">
      <c r="B56" s="13" t="n">
        <v>4</v>
      </c>
      <c r="C56" s="81" t="s">
        <v>173</v>
      </c>
      <c r="D56" s="130" t="n">
        <v>1423</v>
      </c>
      <c r="E56" s="16" t="s">
        <v>1152</v>
      </c>
      <c r="F56" s="97" t="s">
        <v>877</v>
      </c>
    </row>
    <row r="57" customFormat="false" ht="15" hidden="false" customHeight="true" outlineLevel="0" collapsed="false">
      <c r="B57" s="13" t="n">
        <v>5</v>
      </c>
      <c r="C57" s="81" t="s">
        <v>296</v>
      </c>
      <c r="D57" s="130" t="n">
        <v>1403</v>
      </c>
      <c r="E57" s="16" t="s">
        <v>1154</v>
      </c>
      <c r="F57" s="131" t="s">
        <v>117</v>
      </c>
    </row>
    <row r="58" customFormat="false" ht="15" hidden="false" customHeight="true" outlineLevel="0" collapsed="false">
      <c r="B58" s="13" t="n">
        <v>6</v>
      </c>
      <c r="C58" s="81" t="s">
        <v>1173</v>
      </c>
      <c r="D58" s="130" t="n">
        <v>1401</v>
      </c>
      <c r="E58" s="16" t="s">
        <v>1152</v>
      </c>
      <c r="F58" s="97" t="s">
        <v>877</v>
      </c>
    </row>
    <row r="59" customFormat="false" ht="15" hidden="false" customHeight="true" outlineLevel="0" collapsed="false">
      <c r="B59" s="13" t="n">
        <v>7</v>
      </c>
      <c r="C59" s="81" t="s">
        <v>119</v>
      </c>
      <c r="D59" s="130" t="n">
        <v>1397</v>
      </c>
      <c r="E59" s="16" t="s">
        <v>1155</v>
      </c>
      <c r="F59" s="131" t="s">
        <v>117</v>
      </c>
    </row>
    <row r="60" customFormat="false" ht="15" hidden="false" customHeight="true" outlineLevel="0" collapsed="false">
      <c r="B60" s="13" t="n">
        <v>8</v>
      </c>
      <c r="C60" s="81" t="s">
        <v>215</v>
      </c>
      <c r="D60" s="130" t="n">
        <v>1360</v>
      </c>
      <c r="E60" s="16" t="s">
        <v>1154</v>
      </c>
      <c r="F60" s="131" t="s">
        <v>117</v>
      </c>
    </row>
    <row r="61" customFormat="false" ht="15" hidden="false" customHeight="true" outlineLevel="0" collapsed="false">
      <c r="B61" s="13" t="n">
        <v>9</v>
      </c>
      <c r="C61" s="81" t="s">
        <v>1174</v>
      </c>
      <c r="D61" s="130" t="n">
        <v>1355</v>
      </c>
      <c r="E61" s="16" t="s">
        <v>1155</v>
      </c>
      <c r="F61" s="97" t="s">
        <v>877</v>
      </c>
    </row>
    <row r="62" customFormat="false" ht="15" hidden="false" customHeight="true" outlineLevel="0" collapsed="false">
      <c r="B62" s="13" t="n">
        <v>10</v>
      </c>
      <c r="C62" s="81" t="s">
        <v>1175</v>
      </c>
      <c r="D62" s="130" t="n">
        <v>1342</v>
      </c>
      <c r="E62" s="16" t="s">
        <v>1156</v>
      </c>
      <c r="F62" s="131" t="s">
        <v>117</v>
      </c>
    </row>
    <row r="63" customFormat="false" ht="15" hidden="false" customHeight="true" outlineLevel="0" collapsed="false">
      <c r="B63" s="13" t="n">
        <v>11</v>
      </c>
      <c r="C63" s="81" t="s">
        <v>230</v>
      </c>
      <c r="D63" s="130" t="n">
        <v>1324</v>
      </c>
      <c r="E63" s="16" t="s">
        <v>1154</v>
      </c>
      <c r="F63" s="131" t="s">
        <v>117</v>
      </c>
    </row>
    <row r="64" customFormat="false" ht="15" hidden="false" customHeight="true" outlineLevel="0" collapsed="false">
      <c r="B64" s="13" t="n">
        <v>12</v>
      </c>
      <c r="C64" s="81" t="s">
        <v>1176</v>
      </c>
      <c r="D64" s="130" t="n">
        <v>1318</v>
      </c>
      <c r="E64" s="16" t="s">
        <v>1152</v>
      </c>
      <c r="F64" s="131" t="s">
        <v>117</v>
      </c>
    </row>
    <row r="65" customFormat="false" ht="15" hidden="false" customHeight="true" outlineLevel="0" collapsed="false">
      <c r="B65" s="13" t="n">
        <v>13</v>
      </c>
      <c r="C65" s="81" t="s">
        <v>220</v>
      </c>
      <c r="D65" s="130" t="n">
        <v>1312</v>
      </c>
      <c r="E65" s="16" t="s">
        <v>1152</v>
      </c>
      <c r="F65" s="97" t="s">
        <v>877</v>
      </c>
    </row>
    <row r="66" customFormat="false" ht="15" hidden="false" customHeight="true" outlineLevel="0" collapsed="false">
      <c r="B66" s="13" t="n">
        <v>14</v>
      </c>
      <c r="C66" s="81" t="s">
        <v>184</v>
      </c>
      <c r="D66" s="130" t="n">
        <v>1306</v>
      </c>
      <c r="E66" s="16" t="s">
        <v>1155</v>
      </c>
      <c r="F66" s="97" t="s">
        <v>877</v>
      </c>
    </row>
    <row r="67" customFormat="false" ht="15" hidden="false" customHeight="true" outlineLevel="0" collapsed="false">
      <c r="B67" s="13" t="n">
        <v>15</v>
      </c>
      <c r="C67" s="81" t="s">
        <v>1177</v>
      </c>
      <c r="D67" s="130" t="n">
        <v>1304</v>
      </c>
      <c r="E67" s="16" t="s">
        <v>1155</v>
      </c>
      <c r="F67" s="97" t="s">
        <v>877</v>
      </c>
    </row>
    <row r="68" customFormat="false" ht="15" hidden="false" customHeight="true" outlineLevel="0" collapsed="false">
      <c r="B68" s="13" t="n">
        <v>16</v>
      </c>
      <c r="C68" s="81" t="s">
        <v>1178</v>
      </c>
      <c r="D68" s="130" t="n">
        <v>1301</v>
      </c>
      <c r="E68" s="16" t="s">
        <v>1156</v>
      </c>
      <c r="F68" s="97" t="s">
        <v>877</v>
      </c>
    </row>
    <row r="69" customFormat="false" ht="15" hidden="false" customHeight="true" outlineLevel="0" collapsed="false">
      <c r="B69" s="13" t="n">
        <v>17</v>
      </c>
      <c r="C69" s="81" t="s">
        <v>197</v>
      </c>
      <c r="D69" s="130" t="n">
        <v>1296</v>
      </c>
      <c r="E69" s="16" t="s">
        <v>1155</v>
      </c>
      <c r="F69" s="131" t="s">
        <v>117</v>
      </c>
    </row>
    <row r="70" customFormat="false" ht="15" hidden="false" customHeight="true" outlineLevel="0" collapsed="false">
      <c r="B70" s="13" t="n">
        <v>17</v>
      </c>
      <c r="C70" s="81" t="s">
        <v>187</v>
      </c>
      <c r="D70" s="130" t="n">
        <v>1296</v>
      </c>
      <c r="E70" s="16" t="s">
        <v>1152</v>
      </c>
      <c r="F70" s="131" t="s">
        <v>117</v>
      </c>
    </row>
    <row r="71" customFormat="false" ht="15" hidden="false" customHeight="true" outlineLevel="0" collapsed="false">
      <c r="B71" s="13" t="n">
        <v>19</v>
      </c>
      <c r="C71" s="81" t="s">
        <v>447</v>
      </c>
      <c r="D71" s="130" t="n">
        <v>1291</v>
      </c>
      <c r="E71" s="16" t="s">
        <v>1154</v>
      </c>
      <c r="F71" s="131" t="s">
        <v>117</v>
      </c>
    </row>
    <row r="72" customFormat="false" ht="15" hidden="false" customHeight="true" outlineLevel="0" collapsed="false">
      <c r="B72" s="13" t="n">
        <v>20</v>
      </c>
      <c r="C72" s="81" t="s">
        <v>141</v>
      </c>
      <c r="D72" s="130" t="n">
        <v>1283</v>
      </c>
      <c r="E72" s="16" t="s">
        <v>1155</v>
      </c>
      <c r="F72" s="97" t="s">
        <v>877</v>
      </c>
    </row>
    <row r="73" customFormat="false" ht="15" hidden="false" customHeight="true" outlineLevel="0" collapsed="false">
      <c r="B73" s="13" t="n">
        <v>21</v>
      </c>
      <c r="C73" s="81" t="s">
        <v>1179</v>
      </c>
      <c r="D73" s="130" t="n">
        <v>1269</v>
      </c>
      <c r="E73" s="16" t="s">
        <v>1154</v>
      </c>
      <c r="F73" s="97" t="s">
        <v>877</v>
      </c>
    </row>
    <row r="74" customFormat="false" ht="15" hidden="false" customHeight="true" outlineLevel="0" collapsed="false">
      <c r="B74" s="13" t="n">
        <v>22</v>
      </c>
      <c r="C74" s="81" t="s">
        <v>1180</v>
      </c>
      <c r="D74" s="130" t="n">
        <v>1268</v>
      </c>
      <c r="E74" s="16" t="s">
        <v>1152</v>
      </c>
      <c r="F74" s="97" t="s">
        <v>877</v>
      </c>
    </row>
    <row r="75" customFormat="false" ht="15" hidden="false" customHeight="true" outlineLevel="0" collapsed="false">
      <c r="B75" s="13" t="n">
        <v>23</v>
      </c>
      <c r="C75" s="81" t="s">
        <v>1161</v>
      </c>
      <c r="D75" s="130" t="n">
        <v>1241</v>
      </c>
      <c r="E75" s="16" t="s">
        <v>1155</v>
      </c>
      <c r="F75" s="131" t="s">
        <v>117</v>
      </c>
    </row>
    <row r="76" customFormat="false" ht="15" hidden="false" customHeight="true" outlineLevel="0" collapsed="false">
      <c r="B76" s="13" t="n">
        <v>24</v>
      </c>
      <c r="C76" s="81" t="s">
        <v>1181</v>
      </c>
      <c r="D76" s="130" t="n">
        <v>1236</v>
      </c>
      <c r="E76" s="16" t="s">
        <v>1155</v>
      </c>
      <c r="F76" s="97" t="s">
        <v>877</v>
      </c>
    </row>
  </sheetData>
  <sheetProtection sheet="true" formatCells="false" selectLockedCells="true" selectUnlockedCells="true"/>
  <mergeCells count="1">
    <mergeCell ref="B43:L50"/>
  </mergeCells>
  <dataValidations count="2">
    <dataValidation allowBlank="true" error="Pick a placement from the list." errorStyle="stop" errorTitle="Use the dropdown" operator="between" showDropDown="false" showErrorMessage="false" showInputMessage="false" sqref="G11:G26" type="list">
      <formula1>"1,2,3,4,5-8,9-12,13-16"</formula1>
      <formula2>0</formula2>
    </dataValidation>
    <dataValidation allowBlank="true" errorStyle="stop" operator="between" showDropDown="false" showErrorMessage="false" showInputMessage="false" sqref="C11:C26" type="list">
      <formula1>"VCT Americas,VCT EMEA,VCT Pacific,VCT CN"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4" min="3" style="1" width="19"/>
    <col collapsed="false" customWidth="true" hidden="false" outlineLevel="0" max="5" min="5" style="1" width="10"/>
    <col collapsed="false" customWidth="true" hidden="false" outlineLevel="0" max="6" min="6" style="1" width="11"/>
    <col collapsed="false" customWidth="true" hidden="false" outlineLevel="0" max="7" min="7" style="1" width="12"/>
    <col collapsed="false" customWidth="true" hidden="false" outlineLevel="0" max="8" min="8" style="1" width="15"/>
    <col collapsed="false" customWidth="true" hidden="false" outlineLevel="0" max="9" min="9" style="1" width="10"/>
    <col collapsed="false" customWidth="true" hidden="false" outlineLevel="0" max="10" min="10" style="1" width="12"/>
    <col collapsed="false" customWidth="true" hidden="false" outlineLevel="0" max="11" min="11" style="1" width="34"/>
  </cols>
  <sheetData>
    <row r="2" customFormat="false" ht="18" hidden="false" customHeight="true" outlineLevel="0" collapsed="false">
      <c r="B2" s="2" t="s">
        <v>1182</v>
      </c>
    </row>
    <row r="3" customFormat="false" ht="15" hidden="false" customHeight="true" outlineLevel="0" collapsed="false">
      <c r="B3" s="18" t="s">
        <v>1183</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1184</v>
      </c>
      <c r="D6" s="28" t="s">
        <v>1185</v>
      </c>
      <c r="F6" s="28" t="s">
        <v>1186</v>
      </c>
      <c r="H6" s="28" t="s">
        <v>1187</v>
      </c>
      <c r="J6" s="28" t="s">
        <v>1188</v>
      </c>
      <c r="L6" s="28" t="s">
        <v>1070</v>
      </c>
    </row>
    <row r="8" customFormat="false" ht="15" hidden="false" customHeight="true" outlineLevel="0" collapsed="false">
      <c r="B8" s="11" t="s">
        <v>416</v>
      </c>
    </row>
    <row r="9" customFormat="false" ht="15" hidden="false" customHeight="true" outlineLevel="0" collapsed="false">
      <c r="B9" s="18" t="s">
        <v>1189</v>
      </c>
    </row>
    <row r="10" customFormat="false" ht="34.5" hidden="false" customHeight="true" outlineLevel="0" collapsed="false">
      <c r="B10" s="4" t="s">
        <v>1190</v>
      </c>
      <c r="C10" s="4" t="s">
        <v>426</v>
      </c>
      <c r="D10" s="4" t="s">
        <v>1191</v>
      </c>
      <c r="E10" s="4" t="s">
        <v>556</v>
      </c>
      <c r="F10" s="4" t="s">
        <v>421</v>
      </c>
      <c r="G10" s="4" t="s">
        <v>422</v>
      </c>
      <c r="H10" s="4" t="s">
        <v>423</v>
      </c>
      <c r="I10" s="4" t="s">
        <v>424</v>
      </c>
      <c r="J10" s="4" t="s">
        <v>425</v>
      </c>
      <c r="K10" s="4" t="s">
        <v>41</v>
      </c>
      <c r="M10" s="4" t="s">
        <v>426</v>
      </c>
    </row>
    <row r="11" customFormat="false" ht="15" hidden="false" customHeight="true" outlineLevel="0" collapsed="false">
      <c r="B11" s="29" t="s">
        <v>175</v>
      </c>
      <c r="C11" s="31" t="s">
        <v>175</v>
      </c>
      <c r="D11" s="98" t="s">
        <v>1192</v>
      </c>
      <c r="E11" s="109" t="s">
        <v>565</v>
      </c>
      <c r="F11" s="32" t="s">
        <v>427</v>
      </c>
      <c r="G11" s="33" t="n">
        <f aca="false">IF($F11="","",IFERROR(LOOKUP(VALUE(LEFT($F11&amp;"",FIND("-",$F11&amp;"-")-1)),$C$44:$C$49,$D$44:$D$49),""))</f>
        <v>1000</v>
      </c>
      <c r="H11" s="34" t="n">
        <v>1000</v>
      </c>
      <c r="I11" s="35" t="str">
        <f aca="false">IF($H11="","n/a",IF($G11=$H11,"ok","MISMATCH"))</f>
        <v>ok</v>
      </c>
      <c r="J11" s="137" t="n">
        <v>1000000</v>
      </c>
      <c r="K11" s="85" t="s">
        <v>1193</v>
      </c>
      <c r="M11" s="38" t="s">
        <v>175</v>
      </c>
    </row>
    <row r="12" customFormat="false" ht="15" hidden="false" customHeight="true" outlineLevel="0" collapsed="false">
      <c r="B12" s="39" t="s">
        <v>304</v>
      </c>
      <c r="C12" s="41" t="s">
        <v>304</v>
      </c>
      <c r="D12" s="101" t="s">
        <v>1194</v>
      </c>
      <c r="E12" s="102" t="s">
        <v>560</v>
      </c>
      <c r="F12" s="42" t="s">
        <v>428</v>
      </c>
      <c r="G12" s="43" t="n">
        <f aca="false">IF($F12="","",IFERROR(LOOKUP(VALUE(LEFT($F12&amp;"",FIND("-",$F12&amp;"-")-1)),$C$44:$C$49,$D$44:$D$49),""))</f>
        <v>750</v>
      </c>
      <c r="H12" s="44" t="n">
        <v>750</v>
      </c>
      <c r="I12" s="45" t="str">
        <f aca="false">IF($H12="","n/a",IF($G12=$H12,"ok","MISMATCH"))</f>
        <v>ok</v>
      </c>
      <c r="J12" s="139" t="n">
        <v>500000</v>
      </c>
      <c r="K12" s="87"/>
      <c r="M12" s="38" t="s">
        <v>304</v>
      </c>
    </row>
    <row r="13" customFormat="false" ht="15" hidden="false" customHeight="true" outlineLevel="0" collapsed="false">
      <c r="B13" s="48" t="s">
        <v>193</v>
      </c>
      <c r="C13" s="50" t="s">
        <v>193</v>
      </c>
      <c r="D13" s="104" t="s">
        <v>1195</v>
      </c>
      <c r="E13" s="99" t="s">
        <v>558</v>
      </c>
      <c r="F13" s="51" t="s">
        <v>430</v>
      </c>
      <c r="G13" s="52" t="n">
        <f aca="false">IF($F13="","",IFERROR(LOOKUP(VALUE(LEFT($F13&amp;"",FIND("-",$F13&amp;"-")-1)),$C$44:$C$49,$D$44:$D$49),""))</f>
        <v>500</v>
      </c>
      <c r="H13" s="53" t="n">
        <v>500</v>
      </c>
      <c r="I13" s="54" t="str">
        <f aca="false">IF($H13="","n/a",IF($G13=$H13,"ok","MISMATCH"))</f>
        <v>ok</v>
      </c>
      <c r="J13" s="140" t="n">
        <v>250000</v>
      </c>
      <c r="K13" s="89"/>
      <c r="M13" s="38" t="s">
        <v>193</v>
      </c>
    </row>
    <row r="14" customFormat="false" ht="15" hidden="false" customHeight="true" outlineLevel="0" collapsed="false">
      <c r="B14" s="57" t="s">
        <v>1196</v>
      </c>
      <c r="C14" s="152" t="s">
        <v>114</v>
      </c>
      <c r="D14" s="106" t="s">
        <v>1197</v>
      </c>
      <c r="E14" s="99" t="s">
        <v>558</v>
      </c>
      <c r="F14" s="60" t="s">
        <v>431</v>
      </c>
      <c r="G14" s="61" t="n">
        <f aca="false">IF($F14="","",IFERROR(LOOKUP(VALUE(LEFT($F14&amp;"",FIND("-",$F14&amp;"-")-1)),$C$44:$C$49,$D$44:$D$49),""))</f>
        <v>300</v>
      </c>
      <c r="H14" s="62" t="n">
        <v>300</v>
      </c>
      <c r="I14" s="63" t="str">
        <f aca="false">IF($H14="","n/a",IF($G14=$H14,"ok","MISMATCH"))</f>
        <v>ok</v>
      </c>
      <c r="J14" s="142" t="n">
        <v>150000</v>
      </c>
      <c r="K14" s="153" t="s">
        <v>1198</v>
      </c>
      <c r="M14" s="38" t="s">
        <v>114</v>
      </c>
    </row>
    <row r="15" customFormat="false" ht="15" hidden="false" customHeight="true" outlineLevel="0" collapsed="false">
      <c r="B15" s="57" t="s">
        <v>1199</v>
      </c>
      <c r="C15" s="59" t="s">
        <v>1199</v>
      </c>
      <c r="D15" s="106" t="s">
        <v>1200</v>
      </c>
      <c r="E15" s="102" t="s">
        <v>560</v>
      </c>
      <c r="F15" s="60" t="s">
        <v>432</v>
      </c>
      <c r="G15" s="61" t="n">
        <f aca="false">IF($F15="","",IFERROR(LOOKUP(VALUE(LEFT($F15&amp;"",FIND("-",$F15&amp;"-")-1)),$C$44:$C$49,$D$44:$D$49),""))</f>
        <v>200</v>
      </c>
      <c r="H15" s="62" t="n">
        <v>200</v>
      </c>
      <c r="I15" s="63" t="str">
        <f aca="false">IF($H15="","n/a",IF($G15=$H15,"ok","MISMATCH"))</f>
        <v>ok</v>
      </c>
      <c r="J15" s="142" t="n">
        <v>100000</v>
      </c>
      <c r="K15" s="91"/>
      <c r="M15" s="38" t="s">
        <v>1199</v>
      </c>
    </row>
    <row r="16" customFormat="false" ht="15" hidden="false" customHeight="true" outlineLevel="0" collapsed="false">
      <c r="B16" s="57" t="s">
        <v>157</v>
      </c>
      <c r="C16" s="59" t="s">
        <v>157</v>
      </c>
      <c r="D16" s="106" t="s">
        <v>1201</v>
      </c>
      <c r="E16" s="109" t="s">
        <v>565</v>
      </c>
      <c r="F16" s="60" t="s">
        <v>432</v>
      </c>
      <c r="G16" s="61" t="n">
        <f aca="false">IF($F16="","",IFERROR(LOOKUP(VALUE(LEFT($F16&amp;"",FIND("-",$F16&amp;"-")-1)),$C$44:$C$49,$D$44:$D$49),""))</f>
        <v>200</v>
      </c>
      <c r="H16" s="62" t="n">
        <v>200</v>
      </c>
      <c r="I16" s="63" t="str">
        <f aca="false">IF($H16="","n/a",IF($G16=$H16,"ok","MISMATCH"))</f>
        <v>ok</v>
      </c>
      <c r="J16" s="142" t="n">
        <v>100000</v>
      </c>
      <c r="K16" s="91"/>
      <c r="M16" s="38" t="s">
        <v>157</v>
      </c>
    </row>
    <row r="17" customFormat="false" ht="15" hidden="false" customHeight="true" outlineLevel="0" collapsed="false">
      <c r="B17" s="57" t="s">
        <v>119</v>
      </c>
      <c r="C17" s="59" t="s">
        <v>119</v>
      </c>
      <c r="D17" s="106" t="s">
        <v>1195</v>
      </c>
      <c r="E17" s="99" t="s">
        <v>558</v>
      </c>
      <c r="F17" s="60" t="s">
        <v>432</v>
      </c>
      <c r="G17" s="61" t="n">
        <f aca="false">IF($F17="","",IFERROR(LOOKUP(VALUE(LEFT($F17&amp;"",FIND("-",$F17&amp;"-")-1)),$C$44:$C$49,$D$44:$D$49),""))</f>
        <v>200</v>
      </c>
      <c r="H17" s="62" t="n">
        <v>200</v>
      </c>
      <c r="I17" s="63" t="str">
        <f aca="false">IF($H17="","n/a",IF($G17=$H17,"ok","MISMATCH"))</f>
        <v>ok</v>
      </c>
      <c r="J17" s="142" t="n">
        <v>100000</v>
      </c>
      <c r="K17" s="91" t="s">
        <v>1202</v>
      </c>
      <c r="M17" s="38" t="s">
        <v>119</v>
      </c>
    </row>
    <row r="18" customFormat="false" ht="15" hidden="false" customHeight="true" outlineLevel="0" collapsed="false">
      <c r="B18" s="57" t="s">
        <v>1203</v>
      </c>
      <c r="C18" s="59" t="s">
        <v>1203</v>
      </c>
      <c r="D18" s="106" t="s">
        <v>1204</v>
      </c>
      <c r="E18" s="102" t="s">
        <v>560</v>
      </c>
      <c r="F18" s="60" t="s">
        <v>432</v>
      </c>
      <c r="G18" s="61" t="n">
        <f aca="false">IF($F18="","",IFERROR(LOOKUP(VALUE(LEFT($F18&amp;"",FIND("-",$F18&amp;"-")-1)),$C$44:$C$49,$D$44:$D$49),""))</f>
        <v>200</v>
      </c>
      <c r="H18" s="62" t="n">
        <v>200</v>
      </c>
      <c r="I18" s="63" t="str">
        <f aca="false">IF($H18="","n/a",IF($G18=$H18,"ok","MISMATCH"))</f>
        <v>ok</v>
      </c>
      <c r="J18" s="142" t="n">
        <v>100000</v>
      </c>
      <c r="K18" s="91"/>
      <c r="M18" s="38" t="s">
        <v>1203</v>
      </c>
    </row>
    <row r="19" customFormat="false" ht="15" hidden="false" customHeight="true" outlineLevel="0" collapsed="false">
      <c r="B19" s="66" t="s">
        <v>1205</v>
      </c>
      <c r="C19" s="68" t="s">
        <v>1205</v>
      </c>
      <c r="D19" s="14" t="s">
        <v>1206</v>
      </c>
      <c r="E19" s="109" t="s">
        <v>565</v>
      </c>
      <c r="F19" s="69" t="s">
        <v>506</v>
      </c>
      <c r="G19" s="70" t="n">
        <f aca="false">IF($F19="","",IFERROR(LOOKUP(VALUE(LEFT($F19&amp;"",FIND("-",$F19&amp;"-")-1)),$C$44:$C$49,$D$44:$D$49),""))</f>
        <v>0</v>
      </c>
      <c r="H19" s="71"/>
      <c r="I19" s="72" t="str">
        <f aca="false">IF($H19="","n/a",IF($G19=$H19,"ok","MISMATCH"))</f>
        <v>n/a</v>
      </c>
      <c r="J19" s="144" t="n">
        <v>65000</v>
      </c>
      <c r="K19" s="16"/>
      <c r="M19" s="38" t="s">
        <v>1205</v>
      </c>
    </row>
    <row r="20" customFormat="false" ht="15" hidden="false" customHeight="true" outlineLevel="0" collapsed="false">
      <c r="B20" s="66" t="s">
        <v>114</v>
      </c>
      <c r="C20" s="68" t="s">
        <v>114</v>
      </c>
      <c r="D20" s="14" t="s">
        <v>1207</v>
      </c>
      <c r="E20" s="109" t="s">
        <v>565</v>
      </c>
      <c r="F20" s="69" t="s">
        <v>506</v>
      </c>
      <c r="G20" s="70" t="n">
        <f aca="false">IF($F20="","",IFERROR(LOOKUP(VALUE(LEFT($F20&amp;"",FIND("-",$F20&amp;"-")-1)),$C$44:$C$49,$D$44:$D$49),""))</f>
        <v>0</v>
      </c>
      <c r="H20" s="71"/>
      <c r="I20" s="72" t="str">
        <f aca="false">IF($H20="","n/a",IF($G20=$H20,"ok","MISMATCH"))</f>
        <v>n/a</v>
      </c>
      <c r="J20" s="144" t="n">
        <v>65000</v>
      </c>
      <c r="K20" s="16"/>
      <c r="M20" s="38" t="s">
        <v>114</v>
      </c>
    </row>
    <row r="21" customFormat="false" ht="15" hidden="false" customHeight="true" outlineLevel="0" collapsed="false">
      <c r="B21" s="66" t="s">
        <v>1208</v>
      </c>
      <c r="C21" s="68" t="s">
        <v>1208</v>
      </c>
      <c r="D21" s="14" t="s">
        <v>1200</v>
      </c>
      <c r="E21" s="102" t="s">
        <v>560</v>
      </c>
      <c r="F21" s="69" t="s">
        <v>506</v>
      </c>
      <c r="G21" s="70" t="n">
        <f aca="false">IF($F21="","",IFERROR(LOOKUP(VALUE(LEFT($F21&amp;"",FIND("-",$F21&amp;"-")-1)),$C$44:$C$49,$D$44:$D$49),""))</f>
        <v>0</v>
      </c>
      <c r="H21" s="71"/>
      <c r="I21" s="72" t="str">
        <f aca="false">IF($H21="","n/a",IF($G21=$H21,"ok","MISMATCH"))</f>
        <v>n/a</v>
      </c>
      <c r="J21" s="144" t="n">
        <v>65000</v>
      </c>
      <c r="K21" s="16"/>
      <c r="M21" s="38" t="s">
        <v>1208</v>
      </c>
    </row>
    <row r="22" customFormat="false" ht="15" hidden="false" customHeight="true" outlineLevel="0" collapsed="false">
      <c r="B22" s="66" t="s">
        <v>352</v>
      </c>
      <c r="C22" s="68" t="s">
        <v>352</v>
      </c>
      <c r="D22" s="14" t="s">
        <v>1209</v>
      </c>
      <c r="E22" s="109" t="s">
        <v>565</v>
      </c>
      <c r="F22" s="69" t="s">
        <v>506</v>
      </c>
      <c r="G22" s="70" t="n">
        <f aca="false">IF($F22="","",IFERROR(LOOKUP(VALUE(LEFT($F22&amp;"",FIND("-",$F22&amp;"-")-1)),$C$44:$C$49,$D$44:$D$49),""))</f>
        <v>0</v>
      </c>
      <c r="H22" s="71"/>
      <c r="I22" s="72" t="str">
        <f aca="false">IF($H22="","n/a",IF($G22=$H22,"ok","MISMATCH"))</f>
        <v>n/a</v>
      </c>
      <c r="J22" s="144" t="n">
        <v>65000</v>
      </c>
      <c r="K22" s="16"/>
      <c r="M22" s="38" t="s">
        <v>352</v>
      </c>
    </row>
    <row r="23" customFormat="false" ht="15" hidden="false" customHeight="true" outlineLevel="0" collapsed="false">
      <c r="B23" s="66" t="s">
        <v>1210</v>
      </c>
      <c r="C23" s="68" t="s">
        <v>1210</v>
      </c>
      <c r="D23" s="14" t="s">
        <v>1211</v>
      </c>
      <c r="E23" s="109" t="s">
        <v>565</v>
      </c>
      <c r="F23" s="69" t="s">
        <v>514</v>
      </c>
      <c r="G23" s="70" t="n">
        <f aca="false">IF($F23="","",IFERROR(LOOKUP(VALUE(LEFT($F23&amp;"",FIND("-",$F23&amp;"-")-1)),$C$44:$C$49,$D$44:$D$49),""))</f>
        <v>0</v>
      </c>
      <c r="H23" s="71"/>
      <c r="I23" s="72" t="str">
        <f aca="false">IF($H23="","n/a",IF($G23=$H23,"ok","MISMATCH"))</f>
        <v>n/a</v>
      </c>
      <c r="J23" s="144" t="n">
        <v>45000</v>
      </c>
      <c r="K23" s="16"/>
      <c r="M23" s="38" t="s">
        <v>1210</v>
      </c>
    </row>
    <row r="24" customFormat="false" ht="15" hidden="false" customHeight="true" outlineLevel="0" collapsed="false">
      <c r="B24" s="66" t="s">
        <v>1212</v>
      </c>
      <c r="C24" s="68" t="s">
        <v>1212</v>
      </c>
      <c r="D24" s="14" t="s">
        <v>1213</v>
      </c>
      <c r="E24" s="102" t="s">
        <v>560</v>
      </c>
      <c r="F24" s="69" t="s">
        <v>514</v>
      </c>
      <c r="G24" s="70" t="n">
        <f aca="false">IF($F24="","",IFERROR(LOOKUP(VALUE(LEFT($F24&amp;"",FIND("-",$F24&amp;"-")-1)),$C$44:$C$49,$D$44:$D$49),""))</f>
        <v>0</v>
      </c>
      <c r="H24" s="71"/>
      <c r="I24" s="72" t="str">
        <f aca="false">IF($H24="","n/a",IF($G24=$H24,"ok","MISMATCH"))</f>
        <v>n/a</v>
      </c>
      <c r="J24" s="144" t="n">
        <v>45000</v>
      </c>
      <c r="K24" s="16"/>
      <c r="M24" s="38" t="s">
        <v>1212</v>
      </c>
    </row>
    <row r="25" customFormat="false" ht="15" hidden="false" customHeight="true" outlineLevel="0" collapsed="false">
      <c r="B25" s="66" t="s">
        <v>163</v>
      </c>
      <c r="C25" s="68" t="s">
        <v>163</v>
      </c>
      <c r="D25" s="14" t="s">
        <v>1207</v>
      </c>
      <c r="E25" s="109" t="s">
        <v>565</v>
      </c>
      <c r="F25" s="69" t="s">
        <v>514</v>
      </c>
      <c r="G25" s="70" t="n">
        <f aca="false">IF($F25="","",IFERROR(LOOKUP(VALUE(LEFT($F25&amp;"",FIND("-",$F25&amp;"-")-1)),$C$44:$C$49,$D$44:$D$49),""))</f>
        <v>0</v>
      </c>
      <c r="H25" s="71" t="n">
        <v>0</v>
      </c>
      <c r="I25" s="72" t="str">
        <f aca="false">IF($H25="","n/a",IF($G25=$H25,"ok","MISMATCH"))</f>
        <v>ok</v>
      </c>
      <c r="J25" s="144" t="n">
        <v>45000</v>
      </c>
      <c r="K25" s="16"/>
      <c r="M25" s="38" t="s">
        <v>163</v>
      </c>
    </row>
    <row r="26" customFormat="false" ht="15" hidden="false" customHeight="true" outlineLevel="0" collapsed="false">
      <c r="B26" s="66" t="s">
        <v>1214</v>
      </c>
      <c r="C26" s="154" t="s">
        <v>141</v>
      </c>
      <c r="D26" s="14" t="s">
        <v>1197</v>
      </c>
      <c r="E26" s="99" t="s">
        <v>558</v>
      </c>
      <c r="F26" s="69" t="s">
        <v>514</v>
      </c>
      <c r="G26" s="70" t="n">
        <f aca="false">IF($F26="","",IFERROR(LOOKUP(VALUE(LEFT($F26&amp;"",FIND("-",$F26&amp;"-")-1)),$C$44:$C$49,$D$44:$D$49),""))</f>
        <v>0</v>
      </c>
      <c r="H26" s="71" t="n">
        <v>0</v>
      </c>
      <c r="I26" s="72" t="str">
        <f aca="false">IF($H26="","n/a",IF($G26=$H26,"ok","MISMATCH"))</f>
        <v>ok</v>
      </c>
      <c r="J26" s="144" t="n">
        <v>45000</v>
      </c>
      <c r="K26" s="155" t="s">
        <v>1215</v>
      </c>
      <c r="M26" s="38" t="s">
        <v>141</v>
      </c>
    </row>
    <row r="27" customFormat="false" ht="15" hidden="false" customHeight="true" outlineLevel="0" collapsed="false">
      <c r="B27" s="66" t="s">
        <v>392</v>
      </c>
      <c r="C27" s="68" t="s">
        <v>392</v>
      </c>
      <c r="D27" s="14" t="s">
        <v>1206</v>
      </c>
      <c r="E27" s="109" t="s">
        <v>565</v>
      </c>
      <c r="F27" s="69" t="s">
        <v>524</v>
      </c>
      <c r="G27" s="70" t="n">
        <f aca="false">IF($F27="","",IFERROR(LOOKUP(VALUE(LEFT($F27&amp;"",FIND("-",$F27&amp;"-")-1)),$C$44:$C$49,$D$44:$D$49),""))</f>
        <v>0</v>
      </c>
      <c r="H27" s="71"/>
      <c r="I27" s="72" t="str">
        <f aca="false">IF($H27="","n/a",IF($G27=$H27,"ok","MISMATCH"))</f>
        <v>n/a</v>
      </c>
      <c r="J27" s="144" t="n">
        <v>35000</v>
      </c>
      <c r="K27" s="16"/>
      <c r="M27" s="38" t="s">
        <v>392</v>
      </c>
    </row>
    <row r="28" customFormat="false" ht="15" hidden="false" customHeight="true" outlineLevel="0" collapsed="false">
      <c r="B28" s="66" t="s">
        <v>184</v>
      </c>
      <c r="C28" s="68" t="s">
        <v>184</v>
      </c>
      <c r="D28" s="14" t="s">
        <v>1201</v>
      </c>
      <c r="E28" s="109" t="s">
        <v>565</v>
      </c>
      <c r="F28" s="69" t="s">
        <v>1216</v>
      </c>
      <c r="G28" s="70" t="n">
        <f aca="false">IF($F28="","",IFERROR(LOOKUP(VALUE(LEFT($F28&amp;"",FIND("-",$F28&amp;"-")-1)),$C$44:$C$49,$D$44:$D$49),""))</f>
        <v>0</v>
      </c>
      <c r="H28" s="71" t="n">
        <v>0</v>
      </c>
      <c r="I28" s="72" t="str">
        <f aca="false">IF($H28="","n/a",IF($G28=$H28,"ok","MISMATCH"))</f>
        <v>ok</v>
      </c>
      <c r="J28" s="144" t="n">
        <v>31500</v>
      </c>
      <c r="K28" s="16"/>
      <c r="M28" s="38" t="s">
        <v>184</v>
      </c>
    </row>
    <row r="29" customFormat="false" ht="15" hidden="false" customHeight="true" outlineLevel="0" collapsed="false">
      <c r="B29" s="66" t="s">
        <v>235</v>
      </c>
      <c r="C29" s="68" t="s">
        <v>235</v>
      </c>
      <c r="D29" s="14" t="s">
        <v>1209</v>
      </c>
      <c r="E29" s="109" t="s">
        <v>565</v>
      </c>
      <c r="F29" s="69" t="s">
        <v>1216</v>
      </c>
      <c r="G29" s="70" t="n">
        <f aca="false">IF($F29="","",IFERROR(LOOKUP(VALUE(LEFT($F29&amp;"",FIND("-",$F29&amp;"-")-1)),$C$44:$C$49,$D$44:$D$49),""))</f>
        <v>0</v>
      </c>
      <c r="H29" s="71" t="n">
        <v>0</v>
      </c>
      <c r="I29" s="72" t="str">
        <f aca="false">IF($H29="","n/a",IF($G29=$H29,"ok","MISMATCH"))</f>
        <v>ok</v>
      </c>
      <c r="J29" s="144" t="n">
        <v>31500</v>
      </c>
      <c r="K29" s="16"/>
      <c r="M29" s="38" t="s">
        <v>235</v>
      </c>
    </row>
    <row r="30" customFormat="false" ht="15" hidden="false" customHeight="true" outlineLevel="0" collapsed="false">
      <c r="B30" s="66" t="s">
        <v>372</v>
      </c>
      <c r="C30" s="68" t="s">
        <v>372</v>
      </c>
      <c r="D30" s="14" t="s">
        <v>1217</v>
      </c>
      <c r="E30" s="102" t="s">
        <v>560</v>
      </c>
      <c r="F30" s="69" t="s">
        <v>1218</v>
      </c>
      <c r="G30" s="70" t="n">
        <f aca="false">IF($F30="","",IFERROR(LOOKUP(VALUE(LEFT($F30&amp;"",FIND("-",$F30&amp;"-")-1)),$C$44:$C$49,$D$44:$D$49),""))</f>
        <v>0</v>
      </c>
      <c r="H30" s="71"/>
      <c r="I30" s="72" t="str">
        <f aca="false">IF($H30="","n/a",IF($G30=$H30,"ok","MISMATCH"))</f>
        <v>n/a</v>
      </c>
      <c r="J30" s="144" t="n">
        <v>29000</v>
      </c>
      <c r="K30" s="16"/>
      <c r="M30" s="38" t="s">
        <v>372</v>
      </c>
    </row>
    <row r="31" customFormat="false" ht="15" hidden="false" customHeight="true" outlineLevel="0" collapsed="false">
      <c r="B31" s="66" t="s">
        <v>1219</v>
      </c>
      <c r="C31" s="68" t="s">
        <v>1219</v>
      </c>
      <c r="D31" s="14" t="s">
        <v>1220</v>
      </c>
      <c r="E31" s="109" t="s">
        <v>565</v>
      </c>
      <c r="F31" s="69" t="s">
        <v>1218</v>
      </c>
      <c r="G31" s="70" t="n">
        <f aca="false">IF($F31="","",IFERROR(LOOKUP(VALUE(LEFT($F31&amp;"",FIND("-",$F31&amp;"-")-1)),$C$44:$C$49,$D$44:$D$49),""))</f>
        <v>0</v>
      </c>
      <c r="H31" s="71"/>
      <c r="I31" s="72" t="str">
        <f aca="false">IF($H31="","n/a",IF($G31=$H31,"ok","MISMATCH"))</f>
        <v>n/a</v>
      </c>
      <c r="J31" s="144" t="n">
        <v>29000</v>
      </c>
      <c r="K31" s="16"/>
      <c r="M31" s="38" t="s">
        <v>1219</v>
      </c>
    </row>
    <row r="32" customFormat="false" ht="15" hidden="false" customHeight="true" outlineLevel="0" collapsed="false">
      <c r="B32" s="66" t="s">
        <v>1221</v>
      </c>
      <c r="C32" s="68" t="s">
        <v>1221</v>
      </c>
      <c r="D32" s="14" t="s">
        <v>1206</v>
      </c>
      <c r="E32" s="109" t="s">
        <v>565</v>
      </c>
      <c r="F32" s="69" t="s">
        <v>1222</v>
      </c>
      <c r="G32" s="70" t="n">
        <f aca="false">IF($F32="","",IFERROR(LOOKUP(VALUE(LEFT($F32&amp;"",FIND("-",$F32&amp;"-")-1)),$C$44:$C$49,$D$44:$D$49),""))</f>
        <v>0</v>
      </c>
      <c r="H32" s="71"/>
      <c r="I32" s="72" t="str">
        <f aca="false">IF($H32="","n/a",IF($G32=$H32,"ok","MISMATCH"))</f>
        <v>n/a</v>
      </c>
      <c r="J32" s="144" t="n">
        <v>27000</v>
      </c>
      <c r="K32" s="16"/>
      <c r="M32" s="38" t="s">
        <v>1221</v>
      </c>
    </row>
    <row r="33" customFormat="false" ht="15" hidden="false" customHeight="true" outlineLevel="0" collapsed="false">
      <c r="B33" s="66" t="s">
        <v>334</v>
      </c>
      <c r="C33" s="68" t="s">
        <v>334</v>
      </c>
      <c r="D33" s="14" t="s">
        <v>1206</v>
      </c>
      <c r="E33" s="109" t="s">
        <v>565</v>
      </c>
      <c r="F33" s="69" t="s">
        <v>1222</v>
      </c>
      <c r="G33" s="70" t="n">
        <f aca="false">IF($F33="","",IFERROR(LOOKUP(VALUE(LEFT($F33&amp;"",FIND("-",$F33&amp;"-")-1)),$C$44:$C$49,$D$44:$D$49),""))</f>
        <v>0</v>
      </c>
      <c r="H33" s="71"/>
      <c r="I33" s="72" t="str">
        <f aca="false">IF($H33="","n/a",IF($G33=$H33,"ok","MISMATCH"))</f>
        <v>n/a</v>
      </c>
      <c r="J33" s="144" t="n">
        <v>27000</v>
      </c>
      <c r="K33" s="16"/>
      <c r="M33" s="38" t="s">
        <v>334</v>
      </c>
    </row>
    <row r="34" customFormat="false" ht="15" hidden="false" customHeight="true" outlineLevel="0" collapsed="false">
      <c r="B34" s="66" t="s">
        <v>1223</v>
      </c>
      <c r="C34" s="68" t="s">
        <v>1223</v>
      </c>
      <c r="D34" s="14" t="s">
        <v>1224</v>
      </c>
      <c r="E34" s="109" t="s">
        <v>565</v>
      </c>
      <c r="F34" s="69" t="s">
        <v>1225</v>
      </c>
      <c r="G34" s="70" t="n">
        <f aca="false">IF($F34="","",IFERROR(LOOKUP(VALUE(LEFT($F34&amp;"",FIND("-",$F34&amp;"-")-1)),$C$44:$C$49,$D$44:$D$49),""))</f>
        <v>0</v>
      </c>
      <c r="H34" s="71"/>
      <c r="I34" s="72" t="str">
        <f aca="false">IF($H34="","n/a",IF($G34=$H34,"ok","MISMATCH"))</f>
        <v>n/a</v>
      </c>
      <c r="J34" s="144" t="n">
        <v>25000</v>
      </c>
      <c r="K34" s="16"/>
      <c r="M34" s="38" t="s">
        <v>1223</v>
      </c>
    </row>
    <row r="35" customFormat="false" ht="15" hidden="false" customHeight="true" outlineLevel="0" collapsed="false">
      <c r="B35" s="66" t="s">
        <v>1226</v>
      </c>
      <c r="C35" s="68" t="s">
        <v>1226</v>
      </c>
      <c r="D35" s="14" t="s">
        <v>1192</v>
      </c>
      <c r="E35" s="109" t="s">
        <v>565</v>
      </c>
      <c r="F35" s="69" t="s">
        <v>1225</v>
      </c>
      <c r="G35" s="70" t="n">
        <f aca="false">IF($F35="","",IFERROR(LOOKUP(VALUE(LEFT($F35&amp;"",FIND("-",$F35&amp;"-")-1)),$C$44:$C$49,$D$44:$D$49),""))</f>
        <v>0</v>
      </c>
      <c r="H35" s="71"/>
      <c r="I35" s="72" t="str">
        <f aca="false">IF($H35="","n/a",IF($G35=$H35,"ok","MISMATCH"))</f>
        <v>n/a</v>
      </c>
      <c r="J35" s="144" t="n">
        <v>25000</v>
      </c>
      <c r="K35" s="16"/>
      <c r="M35" s="38" t="s">
        <v>1226</v>
      </c>
    </row>
    <row r="37" customFormat="false" ht="15" hidden="false" customHeight="true" outlineLevel="0" collapsed="false">
      <c r="B37" s="11" t="s">
        <v>459</v>
      </c>
      <c r="G37" s="77" t="n">
        <f aca="false">SUM(G11:G35)</f>
        <v>3350</v>
      </c>
    </row>
    <row r="38" customFormat="false" ht="15" hidden="false" customHeight="true" outlineLevel="0" collapsed="false">
      <c r="B38" s="18" t="s">
        <v>1227</v>
      </c>
    </row>
    <row r="42" customFormat="false" ht="15" hidden="false" customHeight="true" outlineLevel="0" collapsed="false">
      <c r="B42" s="11" t="s">
        <v>461</v>
      </c>
    </row>
    <row r="43" customFormat="false" ht="15" hidden="false" customHeight="true" outlineLevel="0" collapsed="false">
      <c r="B43" s="4" t="s">
        <v>463</v>
      </c>
      <c r="C43" s="4" t="s">
        <v>464</v>
      </c>
      <c r="D43" s="4" t="s">
        <v>465</v>
      </c>
    </row>
    <row r="44" customFormat="false" ht="15" hidden="false" customHeight="true" outlineLevel="0" collapsed="false">
      <c r="C44" s="13" t="n">
        <v>1</v>
      </c>
      <c r="D44" s="79" t="n">
        <v>1000</v>
      </c>
      <c r="E44" s="80" t="s">
        <v>466</v>
      </c>
    </row>
    <row r="45" customFormat="false" ht="15" hidden="false" customHeight="true" outlineLevel="0" collapsed="false">
      <c r="C45" s="13" t="n">
        <v>2</v>
      </c>
      <c r="D45" s="79" t="n">
        <v>750</v>
      </c>
      <c r="E45" s="80" t="s">
        <v>467</v>
      </c>
    </row>
    <row r="46" customFormat="false" ht="15" hidden="false" customHeight="true" outlineLevel="0" collapsed="false">
      <c r="C46" s="13" t="n">
        <v>3</v>
      </c>
      <c r="D46" s="79" t="n">
        <v>500</v>
      </c>
      <c r="E46" s="80" t="s">
        <v>468</v>
      </c>
    </row>
    <row r="47" customFormat="false" ht="15" hidden="false" customHeight="true" outlineLevel="0" collapsed="false">
      <c r="C47" s="13" t="n">
        <v>4</v>
      </c>
      <c r="D47" s="79" t="n">
        <v>300</v>
      </c>
      <c r="E47" s="80" t="s">
        <v>469</v>
      </c>
    </row>
    <row r="48" customFormat="false" ht="15" hidden="false" customHeight="true" outlineLevel="0" collapsed="false">
      <c r="C48" s="13" t="n">
        <v>5</v>
      </c>
      <c r="D48" s="79" t="n">
        <v>200</v>
      </c>
      <c r="E48" s="80" t="s">
        <v>537</v>
      </c>
    </row>
    <row r="49" customFormat="false" ht="15" hidden="false" customHeight="true" outlineLevel="0" collapsed="false">
      <c r="C49" s="13" t="n">
        <v>9</v>
      </c>
      <c r="D49" s="79" t="n">
        <v>0</v>
      </c>
      <c r="E49" s="80" t="s">
        <v>1228</v>
      </c>
    </row>
    <row r="52" customFormat="false" ht="15" hidden="false" customHeight="true" outlineLevel="0" collapsed="false">
      <c r="B52" s="11" t="s">
        <v>1229</v>
      </c>
    </row>
    <row r="53" customFormat="false" ht="15" hidden="false" customHeight="true" outlineLevel="0" collapsed="false">
      <c r="B53" s="3" t="s">
        <v>1230</v>
      </c>
      <c r="C53" s="3"/>
      <c r="D53" s="3"/>
      <c r="E53" s="3"/>
      <c r="F53" s="3"/>
      <c r="G53" s="3"/>
      <c r="H53" s="3"/>
      <c r="I53" s="3"/>
      <c r="J53" s="3"/>
    </row>
    <row r="54" customFormat="false" ht="15" hidden="false" customHeight="true" outlineLevel="0" collapsed="false">
      <c r="B54" s="3"/>
      <c r="C54" s="3"/>
      <c r="D54" s="3"/>
      <c r="E54" s="3"/>
      <c r="F54" s="3"/>
      <c r="G54" s="3"/>
      <c r="H54" s="3"/>
      <c r="I54" s="3"/>
      <c r="J54" s="3"/>
    </row>
    <row r="55" customFormat="false" ht="15" hidden="false" customHeight="true" outlineLevel="0" collapsed="false">
      <c r="B55" s="3"/>
      <c r="C55" s="3"/>
      <c r="D55" s="3"/>
      <c r="E55" s="3"/>
      <c r="F55" s="3"/>
      <c r="G55" s="3"/>
      <c r="H55" s="3"/>
      <c r="I55" s="3"/>
      <c r="J55" s="3"/>
    </row>
    <row r="56" customFormat="false" ht="15" hidden="false" customHeight="true" outlineLevel="0" collapsed="false">
      <c r="B56" s="3"/>
      <c r="C56" s="3"/>
      <c r="D56" s="3"/>
      <c r="E56" s="3"/>
      <c r="F56" s="3"/>
      <c r="G56" s="3"/>
      <c r="H56" s="3"/>
      <c r="I56" s="3"/>
      <c r="J56" s="3"/>
    </row>
    <row r="57" customFormat="false" ht="15" hidden="false" customHeight="true" outlineLevel="0" collapsed="false">
      <c r="B57" s="3"/>
      <c r="C57" s="3"/>
      <c r="D57" s="3"/>
      <c r="E57" s="3"/>
      <c r="F57" s="3"/>
      <c r="G57" s="3"/>
      <c r="H57" s="3"/>
      <c r="I57" s="3"/>
      <c r="J57" s="3"/>
    </row>
    <row r="58" customFormat="false" ht="15" hidden="false" customHeight="true" outlineLevel="0" collapsed="false">
      <c r="B58" s="3"/>
      <c r="C58" s="3"/>
      <c r="D58" s="3"/>
      <c r="E58" s="3"/>
      <c r="F58" s="3"/>
      <c r="G58" s="3"/>
      <c r="H58" s="3"/>
      <c r="I58" s="3"/>
      <c r="J58" s="3"/>
    </row>
    <row r="59" customFormat="false" ht="15" hidden="false" customHeight="true" outlineLevel="0" collapsed="false">
      <c r="B59" s="3"/>
      <c r="C59" s="3"/>
      <c r="D59" s="3"/>
      <c r="E59" s="3"/>
      <c r="F59" s="3"/>
      <c r="G59" s="3"/>
      <c r="H59" s="3"/>
      <c r="I59" s="3"/>
      <c r="J59" s="3"/>
    </row>
    <row r="61" customFormat="false" ht="15" hidden="false" customHeight="true" outlineLevel="0" collapsed="false">
      <c r="B61" s="4" t="s">
        <v>556</v>
      </c>
      <c r="C61" s="4" t="s">
        <v>573</v>
      </c>
      <c r="D61" s="4" t="s">
        <v>1059</v>
      </c>
      <c r="E61" s="4" t="s">
        <v>1060</v>
      </c>
      <c r="F61" s="4" t="s">
        <v>1061</v>
      </c>
      <c r="G61" s="4" t="s">
        <v>760</v>
      </c>
      <c r="H61" s="4" t="s">
        <v>761</v>
      </c>
    </row>
    <row r="62" customFormat="false" ht="15" hidden="false" customHeight="true" outlineLevel="0" collapsed="false">
      <c r="B62" s="110" t="s">
        <v>558</v>
      </c>
      <c r="C62" s="13" t="n">
        <f aca="false">COUNTIF($E$11:$E$35,$B62)</f>
        <v>4</v>
      </c>
      <c r="D62" s="13" t="n">
        <f aca="false">SUMPRODUCT(($E$11:$E$35=$B62)*($G$11:$G$35&gt;0))</f>
        <v>3</v>
      </c>
      <c r="E62" s="149" t="n">
        <f aca="false">IF(C62=0,"",D62/C62)</f>
        <v>0.75</v>
      </c>
      <c r="F62" s="130" t="n">
        <f aca="false">IFERROR(SUMPRODUCT(MAX(($E$11:$E$35=$B62)*$G$11:$G$35)),0)</f>
        <v>500</v>
      </c>
      <c r="G62" s="13" t="n">
        <f aca="false">1</f>
        <v>1</v>
      </c>
      <c r="H62" s="13" t="n">
        <f aca="false">G62+C62-1</f>
        <v>4</v>
      </c>
    </row>
    <row r="63" customFormat="false" ht="15" hidden="false" customHeight="true" outlineLevel="0" collapsed="false">
      <c r="B63" s="113" t="s">
        <v>560</v>
      </c>
      <c r="C63" s="13" t="n">
        <f aca="false">COUNTIF($E$11:$E$35,$B63)</f>
        <v>6</v>
      </c>
      <c r="D63" s="13" t="n">
        <f aca="false">SUMPRODUCT(($E$11:$E$35=$B63)*($G$11:$G$35&gt;0))</f>
        <v>3</v>
      </c>
      <c r="E63" s="149" t="n">
        <f aca="false">IF(C63=0,"",D63/C63)</f>
        <v>0.5</v>
      </c>
      <c r="F63" s="130" t="n">
        <f aca="false">IFERROR(SUMPRODUCT(MAX(($E$11:$E$35=$B63)*$G$11:$G$35)),0)</f>
        <v>750</v>
      </c>
      <c r="G63" s="13" t="n">
        <f aca="false">H62+1</f>
        <v>5</v>
      </c>
      <c r="H63" s="13" t="n">
        <f aca="false">G63+C63-1</f>
        <v>10</v>
      </c>
    </row>
    <row r="64" customFormat="false" ht="15" hidden="false" customHeight="true" outlineLevel="0" collapsed="false">
      <c r="B64" s="114" t="s">
        <v>565</v>
      </c>
      <c r="C64" s="13" t="n">
        <f aca="false">COUNTIF($E$11:$E$35,$B64)</f>
        <v>15</v>
      </c>
      <c r="D64" s="13" t="n">
        <f aca="false">SUMPRODUCT(($E$11:$E$35=$B64)*($G$11:$G$35&gt;0))</f>
        <v>2</v>
      </c>
      <c r="E64" s="149" t="n">
        <f aca="false">IF(C64=0,"",D64/C64)</f>
        <v>0.133333333333333</v>
      </c>
      <c r="F64" s="130" t="n">
        <f aca="false">IFERROR(SUMPRODUCT(MAX(($E$11:$E$35=$B64)*$G$11:$G$35)),0)</f>
        <v>1000</v>
      </c>
      <c r="G64" s="13" t="n">
        <f aca="false">H63+1</f>
        <v>11</v>
      </c>
      <c r="H64" s="13" t="n">
        <f aca="false">G64+C64-1</f>
        <v>25</v>
      </c>
    </row>
    <row r="66" customFormat="false" ht="15" hidden="false" customHeight="true" outlineLevel="0" collapsed="false">
      <c r="B66" s="18" t="s">
        <v>1231</v>
      </c>
    </row>
  </sheetData>
  <sheetProtection sheet="true" formatCells="false" selectLockedCells="true" selectUnlockedCells="true"/>
  <mergeCells count="1">
    <mergeCell ref="B53:J59"/>
  </mergeCells>
  <dataValidations count="2">
    <dataValidation allowBlank="true" error="Pick a placement from the list." errorStyle="stop" errorTitle="Use the dropdown" operator="between" showDropDown="false" showErrorMessage="false" showInputMessage="false" sqref="F11:F35" type="list">
      <formula1>"1,2,3,4,5-8,9-12,13-16,17,18-19,20-21,22-23,24-25"</formula1>
      <formula2>0</formula2>
    </dataValidation>
    <dataValidation allowBlank="true" error="High, Medium or Low." errorStyle="stop" errorTitle="Use the dropdown" operator="between" showDropDown="false" showErrorMessage="false" showInputMessage="false" sqref="E11:E35"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13"/>
    <col collapsed="false" customWidth="true" hidden="false" outlineLevel="0" max="5" min="4" style="1" width="10"/>
    <col collapsed="false" customWidth="true" hidden="false" outlineLevel="0" max="6" min="6" style="1" width="11"/>
    <col collapsed="false" customWidth="true" hidden="false" outlineLevel="0" max="8" min="7" style="1" width="12"/>
    <col collapsed="false" customWidth="true" hidden="false" outlineLevel="0" max="9" min="9" style="1" width="11"/>
    <col collapsed="false" customWidth="true" hidden="false" outlineLevel="0" max="10" min="10" style="1" width="14"/>
    <col collapsed="false" customWidth="true" hidden="false" outlineLevel="0" max="11" min="11" style="1" width="10"/>
    <col collapsed="false" customWidth="true" hidden="false" outlineLevel="0" max="12" min="12" style="1" width="12"/>
    <col collapsed="false" customWidth="true" hidden="false" outlineLevel="0" max="13" min="13" style="1" width="44"/>
  </cols>
  <sheetData>
    <row r="2" customFormat="false" ht="18" hidden="false" customHeight="true" outlineLevel="0" collapsed="false">
      <c r="B2" s="2" t="s">
        <v>1232</v>
      </c>
    </row>
    <row r="3" customFormat="false" ht="15" hidden="false" customHeight="true" outlineLevel="0" collapsed="false">
      <c r="B3" s="18" t="s">
        <v>1233</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1234</v>
      </c>
      <c r="D6" s="28" t="s">
        <v>1235</v>
      </c>
      <c r="F6" s="28" t="s">
        <v>1236</v>
      </c>
      <c r="H6" s="28" t="s">
        <v>1237</v>
      </c>
      <c r="J6" s="28" t="s">
        <v>1238</v>
      </c>
      <c r="L6" s="28" t="s">
        <v>1239</v>
      </c>
    </row>
    <row r="8" customFormat="false" ht="15" hidden="false" customHeight="true" outlineLevel="0" collapsed="false">
      <c r="B8" s="11" t="s">
        <v>416</v>
      </c>
    </row>
    <row r="9" customFormat="false" ht="15" hidden="false" customHeight="true" outlineLevel="0" collapsed="false">
      <c r="B9" s="18" t="s">
        <v>1240</v>
      </c>
    </row>
    <row r="10" customFormat="false" ht="34.5" hidden="false" customHeight="true" outlineLevel="0" collapsed="false">
      <c r="B10" s="4" t="s">
        <v>418</v>
      </c>
      <c r="C10" s="4" t="s">
        <v>555</v>
      </c>
      <c r="D10" s="4" t="s">
        <v>1241</v>
      </c>
      <c r="E10" s="4" t="s">
        <v>556</v>
      </c>
      <c r="F10" s="4" t="s">
        <v>421</v>
      </c>
      <c r="G10" s="4" t="s">
        <v>422</v>
      </c>
      <c r="H10" s="4" t="s">
        <v>1043</v>
      </c>
      <c r="I10" s="4" t="s">
        <v>1044</v>
      </c>
      <c r="J10" s="4" t="s">
        <v>423</v>
      </c>
      <c r="K10" s="4" t="s">
        <v>424</v>
      </c>
      <c r="L10" s="4" t="s">
        <v>425</v>
      </c>
      <c r="M10" s="4" t="s">
        <v>41</v>
      </c>
      <c r="O10" s="4" t="s">
        <v>426</v>
      </c>
    </row>
    <row r="11" customFormat="false" ht="15" hidden="false" customHeight="true" outlineLevel="0" collapsed="false">
      <c r="B11" s="29" t="s">
        <v>1242</v>
      </c>
      <c r="C11" s="98" t="s">
        <v>1243</v>
      </c>
      <c r="D11" s="31" t="n">
        <v>3</v>
      </c>
      <c r="E11" s="99" t="s">
        <v>558</v>
      </c>
      <c r="F11" s="32" t="s">
        <v>427</v>
      </c>
      <c r="G11" s="33" t="n">
        <f aca="false">IF($F11="","",IFERROR(LOOKUP(VALUE($F11),$C$56:$C$64,$D$56:$D$64),""))</f>
        <v>1000</v>
      </c>
      <c r="H11" s="146" t="s">
        <v>117</v>
      </c>
      <c r="I11" s="33" t="n">
        <f aca="false">IF($H11="VOID",0,$G11)</f>
        <v>1000</v>
      </c>
      <c r="J11" s="34" t="n">
        <v>1000</v>
      </c>
      <c r="K11" s="35" t="str">
        <f aca="false">IF($J11="","n/a",IF($I11=$J11,"ok","MISMATCH"))</f>
        <v>ok</v>
      </c>
      <c r="L11" s="137" t="n">
        <v>600000</v>
      </c>
      <c r="M11" s="85"/>
      <c r="O11" s="38" t="s">
        <v>1242</v>
      </c>
    </row>
    <row r="12" customFormat="false" ht="15" hidden="false" customHeight="true" outlineLevel="0" collapsed="false">
      <c r="B12" s="39" t="s">
        <v>178</v>
      </c>
      <c r="C12" s="101" t="s">
        <v>616</v>
      </c>
      <c r="D12" s="41" t="n">
        <v>3</v>
      </c>
      <c r="E12" s="99" t="s">
        <v>558</v>
      </c>
      <c r="F12" s="42" t="s">
        <v>428</v>
      </c>
      <c r="G12" s="43" t="n">
        <f aca="false">IF($F12="","",IFERROR(LOOKUP(VALUE($F12),$C$56:$C$64,$D$56:$D$64),""))</f>
        <v>750</v>
      </c>
      <c r="H12" s="146" t="s">
        <v>117</v>
      </c>
      <c r="I12" s="43" t="n">
        <f aca="false">IF($H12="VOID",0,$G12)</f>
        <v>750</v>
      </c>
      <c r="J12" s="44" t="n">
        <v>750</v>
      </c>
      <c r="K12" s="45" t="str">
        <f aca="false">IF($J12="","n/a",IF($I12=$J12,"ok","MISMATCH"))</f>
        <v>ok</v>
      </c>
      <c r="L12" s="139" t="n">
        <v>300000</v>
      </c>
      <c r="M12" s="87"/>
      <c r="O12" s="38" t="s">
        <v>178</v>
      </c>
    </row>
    <row r="13" customFormat="false" ht="15" hidden="false" customHeight="true" outlineLevel="0" collapsed="false">
      <c r="B13" s="48" t="s">
        <v>263</v>
      </c>
      <c r="C13" s="104" t="s">
        <v>616</v>
      </c>
      <c r="D13" s="50" t="n">
        <v>7</v>
      </c>
      <c r="E13" s="102" t="s">
        <v>560</v>
      </c>
      <c r="F13" s="51" t="s">
        <v>430</v>
      </c>
      <c r="G13" s="52" t="n">
        <f aca="false">IF($F13="","",IFERROR(LOOKUP(VALUE($F13),$C$56:$C$64,$D$56:$D$64),""))</f>
        <v>500</v>
      </c>
      <c r="H13" s="146" t="s">
        <v>117</v>
      </c>
      <c r="I13" s="52" t="n">
        <f aca="false">IF($H13="VOID",0,$G13)</f>
        <v>500</v>
      </c>
      <c r="J13" s="53" t="n">
        <v>500</v>
      </c>
      <c r="K13" s="54" t="str">
        <f aca="false">IF($J13="","n/a",IF($I13=$J13,"ok","MISMATCH"))</f>
        <v>ok</v>
      </c>
      <c r="L13" s="140" t="n">
        <v>200000</v>
      </c>
      <c r="M13" s="89"/>
      <c r="O13" s="38" t="s">
        <v>263</v>
      </c>
    </row>
    <row r="14" customFormat="false" ht="15" hidden="false" customHeight="true" outlineLevel="0" collapsed="false">
      <c r="B14" s="57" t="s">
        <v>267</v>
      </c>
      <c r="C14" s="106" t="s">
        <v>616</v>
      </c>
      <c r="D14" s="59" t="n">
        <v>11</v>
      </c>
      <c r="E14" s="102" t="s">
        <v>560</v>
      </c>
      <c r="F14" s="60" t="s">
        <v>431</v>
      </c>
      <c r="G14" s="61" t="n">
        <f aca="false">IF($F14="","",IFERROR(LOOKUP(VALUE($F14),$C$56:$C$64,$D$56:$D$64),""))</f>
        <v>300</v>
      </c>
      <c r="H14" s="147" t="s">
        <v>1048</v>
      </c>
      <c r="I14" s="61" t="n">
        <f aca="false">IF($H14="VOID",0,$G14)</f>
        <v>0</v>
      </c>
      <c r="J14" s="62"/>
      <c r="K14" s="63" t="str">
        <f aca="false">IF($J14="","n/a",IF($I14=$J14,"ok","MISMATCH"))</f>
        <v>n/a</v>
      </c>
      <c r="L14" s="142" t="n">
        <v>150000</v>
      </c>
      <c r="M14" s="148" t="s">
        <v>1049</v>
      </c>
      <c r="O14" s="38" t="s">
        <v>267</v>
      </c>
    </row>
    <row r="15" customFormat="false" ht="15" hidden="false" customHeight="true" outlineLevel="0" collapsed="false">
      <c r="B15" s="57" t="s">
        <v>208</v>
      </c>
      <c r="C15" s="106" t="s">
        <v>1243</v>
      </c>
      <c r="D15" s="59" t="n">
        <v>1</v>
      </c>
      <c r="E15" s="99" t="s">
        <v>558</v>
      </c>
      <c r="F15" s="60" t="s">
        <v>604</v>
      </c>
      <c r="G15" s="61" t="n">
        <f aca="false">IF($F15="","",IFERROR(LOOKUP(VALUE($F15),$C$56:$C$64,$D$56:$D$64),""))</f>
        <v>200</v>
      </c>
      <c r="H15" s="146" t="s">
        <v>117</v>
      </c>
      <c r="I15" s="61" t="n">
        <f aca="false">IF($H15="VOID",0,$G15)</f>
        <v>200</v>
      </c>
      <c r="J15" s="62" t="n">
        <v>200</v>
      </c>
      <c r="K15" s="63" t="str">
        <f aca="false">IF($J15="","n/a",IF($I15=$J15,"ok","MISMATCH"))</f>
        <v>ok</v>
      </c>
      <c r="L15" s="142" t="n">
        <v>125000</v>
      </c>
      <c r="M15" s="91"/>
      <c r="O15" s="38" t="s">
        <v>208</v>
      </c>
    </row>
    <row r="16" customFormat="false" ht="15" hidden="false" customHeight="true" outlineLevel="0" collapsed="false">
      <c r="B16" s="57" t="s">
        <v>1244</v>
      </c>
      <c r="C16" s="106" t="s">
        <v>616</v>
      </c>
      <c r="D16" s="59" t="n">
        <v>8</v>
      </c>
      <c r="E16" s="102" t="s">
        <v>560</v>
      </c>
      <c r="F16" s="60" t="s">
        <v>608</v>
      </c>
      <c r="G16" s="61" t="n">
        <f aca="false">IF($F16="","",IFERROR(LOOKUP(VALUE($F16),$C$56:$C$64,$D$56:$D$64),""))</f>
        <v>150</v>
      </c>
      <c r="H16" s="146" t="s">
        <v>117</v>
      </c>
      <c r="I16" s="61" t="n">
        <f aca="false">IF($H16="VOID",0,$G16)</f>
        <v>150</v>
      </c>
      <c r="J16" s="62" t="n">
        <v>150</v>
      </c>
      <c r="K16" s="63" t="str">
        <f aca="false">IF($J16="","n/a",IF($I16=$J16,"ok","MISMATCH"))</f>
        <v>ok</v>
      </c>
      <c r="L16" s="142" t="n">
        <v>100000</v>
      </c>
      <c r="M16" s="91"/>
      <c r="O16" s="76" t="s">
        <v>127</v>
      </c>
    </row>
    <row r="17" customFormat="false" ht="15" hidden="false" customHeight="true" outlineLevel="0" collapsed="false">
      <c r="B17" s="57" t="s">
        <v>206</v>
      </c>
      <c r="C17" s="106" t="s">
        <v>1245</v>
      </c>
      <c r="D17" s="59" t="n">
        <v>1</v>
      </c>
      <c r="E17" s="99" t="s">
        <v>558</v>
      </c>
      <c r="F17" s="60" t="s">
        <v>611</v>
      </c>
      <c r="G17" s="61" t="n">
        <f aca="false">IF($F17="","",IFERROR(LOOKUP(VALUE($F17),$C$56:$C$64,$D$56:$D$64),""))</f>
        <v>100</v>
      </c>
      <c r="H17" s="146" t="s">
        <v>117</v>
      </c>
      <c r="I17" s="61" t="n">
        <f aca="false">IF($H17="VOID",0,$G17)</f>
        <v>100</v>
      </c>
      <c r="J17" s="62" t="n">
        <v>100</v>
      </c>
      <c r="K17" s="63" t="str">
        <f aca="false">IF($J17="","n/a",IF($I17=$J17,"ok","MISMATCH"))</f>
        <v>ok</v>
      </c>
      <c r="L17" s="142" t="n">
        <v>80000</v>
      </c>
      <c r="M17" s="91"/>
      <c r="O17" s="38" t="s">
        <v>206</v>
      </c>
    </row>
    <row r="18" customFormat="false" ht="15" hidden="false" customHeight="true" outlineLevel="0" collapsed="false">
      <c r="B18" s="57" t="s">
        <v>114</v>
      </c>
      <c r="C18" s="106" t="s">
        <v>616</v>
      </c>
      <c r="D18" s="59" t="n">
        <v>4</v>
      </c>
      <c r="E18" s="99" t="s">
        <v>558</v>
      </c>
      <c r="F18" s="60" t="s">
        <v>612</v>
      </c>
      <c r="G18" s="61" t="n">
        <f aca="false">IF($F18="","",IFERROR(LOOKUP(VALUE($F18),$C$56:$C$64,$D$56:$D$64),""))</f>
        <v>50</v>
      </c>
      <c r="H18" s="146" t="s">
        <v>117</v>
      </c>
      <c r="I18" s="61" t="n">
        <f aca="false">IF($H18="VOID",0,$G18)</f>
        <v>50</v>
      </c>
      <c r="J18" s="62" t="n">
        <v>50</v>
      </c>
      <c r="K18" s="63" t="str">
        <f aca="false">IF($J18="","n/a",IF($I18=$J18,"ok","MISMATCH"))</f>
        <v>ok</v>
      </c>
      <c r="L18" s="142" t="n">
        <v>60000</v>
      </c>
      <c r="M18" s="91"/>
      <c r="O18" s="38" t="s">
        <v>114</v>
      </c>
    </row>
    <row r="19" customFormat="false" ht="15" hidden="false" customHeight="true" outlineLevel="0" collapsed="false">
      <c r="B19" s="66" t="s">
        <v>141</v>
      </c>
      <c r="C19" s="14" t="s">
        <v>616</v>
      </c>
      <c r="D19" s="68" t="n">
        <v>6</v>
      </c>
      <c r="E19" s="102" t="s">
        <v>560</v>
      </c>
      <c r="F19" s="69" t="s">
        <v>614</v>
      </c>
      <c r="G19" s="70" t="n">
        <f aca="false">IF($F19="","",IFERROR(LOOKUP(VALUE($F19),$C$56:$C$64,$D$56:$D$64),""))</f>
        <v>0</v>
      </c>
      <c r="H19" s="146" t="s">
        <v>117</v>
      </c>
      <c r="I19" s="70" t="n">
        <f aca="false">IF($H19="VOID",0,$G19)</f>
        <v>0</v>
      </c>
      <c r="J19" s="71" t="n">
        <v>0</v>
      </c>
      <c r="K19" s="72" t="str">
        <f aca="false">IF($J19="","n/a",IF($I19=$J19,"ok","MISMATCH"))</f>
        <v>ok</v>
      </c>
      <c r="L19" s="144" t="n">
        <v>50000</v>
      </c>
      <c r="M19" s="16"/>
      <c r="O19" s="38" t="s">
        <v>141</v>
      </c>
    </row>
    <row r="20" customFormat="false" ht="15" hidden="false" customHeight="true" outlineLevel="0" collapsed="false">
      <c r="B20" s="66" t="s">
        <v>187</v>
      </c>
      <c r="C20" s="14" t="s">
        <v>1245</v>
      </c>
      <c r="D20" s="68" t="n">
        <v>6</v>
      </c>
      <c r="E20" s="102" t="s">
        <v>560</v>
      </c>
      <c r="F20" s="69" t="s">
        <v>617</v>
      </c>
      <c r="G20" s="70" t="n">
        <f aca="false">IF($F20="","",IFERROR(LOOKUP(VALUE($F20),$C$56:$C$64,$D$56:$D$64),""))</f>
        <v>0</v>
      </c>
      <c r="H20" s="146" t="s">
        <v>117</v>
      </c>
      <c r="I20" s="70" t="n">
        <f aca="false">IF($H20="VOID",0,$G20)</f>
        <v>0</v>
      </c>
      <c r="J20" s="71" t="n">
        <v>0</v>
      </c>
      <c r="K20" s="72" t="str">
        <f aca="false">IF($J20="","n/a",IF($I20=$J20,"ok","MISMATCH"))</f>
        <v>ok</v>
      </c>
      <c r="L20" s="144" t="n">
        <v>40000</v>
      </c>
      <c r="M20" s="16"/>
      <c r="O20" s="38" t="s">
        <v>187</v>
      </c>
    </row>
    <row r="21" customFormat="false" ht="15" hidden="false" customHeight="true" outlineLevel="0" collapsed="false">
      <c r="B21" s="66" t="s">
        <v>195</v>
      </c>
      <c r="C21" s="14" t="s">
        <v>1243</v>
      </c>
      <c r="D21" s="68" t="n">
        <v>2</v>
      </c>
      <c r="E21" s="99" t="s">
        <v>558</v>
      </c>
      <c r="F21" s="69" t="s">
        <v>620</v>
      </c>
      <c r="G21" s="70" t="n">
        <f aca="false">IF($F21="","",IFERROR(LOOKUP(VALUE($F21),$C$56:$C$64,$D$56:$D$64),""))</f>
        <v>0</v>
      </c>
      <c r="H21" s="146" t="s">
        <v>117</v>
      </c>
      <c r="I21" s="70" t="n">
        <f aca="false">IF($H21="VOID",0,$G21)</f>
        <v>0</v>
      </c>
      <c r="J21" s="71" t="n">
        <v>0</v>
      </c>
      <c r="K21" s="72" t="str">
        <f aca="false">IF($J21="","n/a",IF($I21=$J21,"ok","MISMATCH"))</f>
        <v>ok</v>
      </c>
      <c r="L21" s="144" t="n">
        <v>30000</v>
      </c>
      <c r="M21" s="16"/>
      <c r="O21" s="38" t="s">
        <v>195</v>
      </c>
    </row>
    <row r="22" customFormat="false" ht="15" hidden="false" customHeight="true" outlineLevel="0" collapsed="false">
      <c r="B22" s="66" t="s">
        <v>342</v>
      </c>
      <c r="C22" s="14" t="s">
        <v>1050</v>
      </c>
      <c r="D22" s="68" t="n">
        <v>4</v>
      </c>
      <c r="E22" s="99" t="s">
        <v>558</v>
      </c>
      <c r="F22" s="69" t="s">
        <v>621</v>
      </c>
      <c r="G22" s="70" t="n">
        <f aca="false">IF($F22="","",IFERROR(LOOKUP(VALUE($F22),$C$56:$C$64,$D$56:$D$64),""))</f>
        <v>0</v>
      </c>
      <c r="H22" s="146" t="s">
        <v>117</v>
      </c>
      <c r="I22" s="70" t="n">
        <f aca="false">IF($H22="VOID",0,$G22)</f>
        <v>0</v>
      </c>
      <c r="J22" s="71"/>
      <c r="K22" s="72" t="str">
        <f aca="false">IF($J22="","n/a",IF($I22=$J22,"ok","MISMATCH"))</f>
        <v>n/a</v>
      </c>
      <c r="L22" s="144" t="n">
        <v>27000</v>
      </c>
      <c r="M22" s="16"/>
      <c r="O22" s="38" t="s">
        <v>342</v>
      </c>
    </row>
    <row r="23" customFormat="false" ht="15" hidden="false" customHeight="true" outlineLevel="0" collapsed="false">
      <c r="B23" s="66" t="s">
        <v>1246</v>
      </c>
      <c r="C23" s="14" t="s">
        <v>1050</v>
      </c>
      <c r="D23" s="68" t="n">
        <v>5</v>
      </c>
      <c r="E23" s="99" t="s">
        <v>558</v>
      </c>
      <c r="F23" s="69" t="s">
        <v>624</v>
      </c>
      <c r="G23" s="70" t="n">
        <f aca="false">IF($F23="","",IFERROR(LOOKUP(VALUE($F23),$C$56:$C$64,$D$56:$D$64),""))</f>
        <v>0</v>
      </c>
      <c r="H23" s="146" t="s">
        <v>117</v>
      </c>
      <c r="I23" s="70" t="n">
        <f aca="false">IF($H23="VOID",0,$G23)</f>
        <v>0</v>
      </c>
      <c r="J23" s="71"/>
      <c r="K23" s="72" t="str">
        <f aca="false">IF($J23="","n/a",IF($I23=$J23,"ok","MISMATCH"))</f>
        <v>n/a</v>
      </c>
      <c r="L23" s="144" t="n">
        <v>24000</v>
      </c>
      <c r="M23" s="16"/>
      <c r="O23" s="38" t="s">
        <v>1246</v>
      </c>
    </row>
    <row r="24" customFormat="false" ht="15" hidden="false" customHeight="true" outlineLevel="0" collapsed="false">
      <c r="B24" s="66" t="s">
        <v>145</v>
      </c>
      <c r="C24" s="14" t="s">
        <v>616</v>
      </c>
      <c r="D24" s="68" t="n">
        <v>13</v>
      </c>
      <c r="E24" s="109" t="s">
        <v>565</v>
      </c>
      <c r="F24" s="69" t="s">
        <v>627</v>
      </c>
      <c r="G24" s="70" t="n">
        <f aca="false">IF($F24="","",IFERROR(LOOKUP(VALUE($F24),$C$56:$C$64,$D$56:$D$64),""))</f>
        <v>0</v>
      </c>
      <c r="H24" s="146" t="s">
        <v>117</v>
      </c>
      <c r="I24" s="70" t="n">
        <f aca="false">IF($H24="VOID",0,$G24)</f>
        <v>0</v>
      </c>
      <c r="J24" s="71" t="n">
        <v>0</v>
      </c>
      <c r="K24" s="72" t="str">
        <f aca="false">IF($J24="","n/a",IF($I24=$J24,"ok","MISMATCH"))</f>
        <v>ok</v>
      </c>
      <c r="L24" s="144" t="n">
        <v>22000</v>
      </c>
      <c r="M24" s="16"/>
      <c r="O24" s="38" t="s">
        <v>145</v>
      </c>
    </row>
    <row r="25" customFormat="false" ht="15" hidden="false" customHeight="true" outlineLevel="0" collapsed="false">
      <c r="B25" s="66" t="s">
        <v>152</v>
      </c>
      <c r="C25" s="14" t="s">
        <v>616</v>
      </c>
      <c r="D25" s="68" t="n">
        <v>1</v>
      </c>
      <c r="E25" s="99" t="s">
        <v>558</v>
      </c>
      <c r="F25" s="69" t="s">
        <v>629</v>
      </c>
      <c r="G25" s="70" t="n">
        <f aca="false">IF($F25="","",IFERROR(LOOKUP(VALUE($F25),$C$56:$C$64,$D$56:$D$64),""))</f>
        <v>0</v>
      </c>
      <c r="H25" s="146" t="s">
        <v>117</v>
      </c>
      <c r="I25" s="70" t="n">
        <f aca="false">IF($H25="VOID",0,$G25)</f>
        <v>0</v>
      </c>
      <c r="J25" s="71" t="n">
        <v>0</v>
      </c>
      <c r="K25" s="72" t="str">
        <f aca="false">IF($J25="","n/a",IF($I25=$J25,"ok","MISMATCH"))</f>
        <v>ok</v>
      </c>
      <c r="L25" s="144" t="n">
        <v>20000</v>
      </c>
      <c r="M25" s="16"/>
      <c r="O25" s="38" t="s">
        <v>152</v>
      </c>
    </row>
    <row r="26" customFormat="false" ht="15" hidden="false" customHeight="true" outlineLevel="0" collapsed="false">
      <c r="B26" s="66" t="s">
        <v>131</v>
      </c>
      <c r="C26" s="14" t="s">
        <v>1245</v>
      </c>
      <c r="D26" s="68" t="n">
        <v>2</v>
      </c>
      <c r="E26" s="99" t="s">
        <v>558</v>
      </c>
      <c r="F26" s="69" t="s">
        <v>632</v>
      </c>
      <c r="G26" s="70" t="n">
        <f aca="false">IF($F26="","",IFERROR(LOOKUP(VALUE($F26),$C$56:$C$64,$D$56:$D$64),""))</f>
        <v>0</v>
      </c>
      <c r="H26" s="146" t="s">
        <v>117</v>
      </c>
      <c r="I26" s="70" t="n">
        <f aca="false">IF($H26="VOID",0,$G26)</f>
        <v>0</v>
      </c>
      <c r="J26" s="71" t="n">
        <v>0</v>
      </c>
      <c r="K26" s="72" t="str">
        <f aca="false">IF($J26="","n/a",IF($I26=$J26,"ok","MISMATCH"))</f>
        <v>ok</v>
      </c>
      <c r="L26" s="144" t="n">
        <v>18000</v>
      </c>
      <c r="M26" s="16"/>
      <c r="O26" s="38" t="s">
        <v>131</v>
      </c>
    </row>
    <row r="27" customFormat="false" ht="15" hidden="false" customHeight="true" outlineLevel="0" collapsed="false">
      <c r="B27" s="66" t="s">
        <v>163</v>
      </c>
      <c r="C27" s="14" t="s">
        <v>616</v>
      </c>
      <c r="D27" s="68" t="n">
        <v>9</v>
      </c>
      <c r="E27" s="102" t="s">
        <v>560</v>
      </c>
      <c r="F27" s="69" t="s">
        <v>524</v>
      </c>
      <c r="G27" s="70" t="n">
        <f aca="false">IF($F27="","",IFERROR(LOOKUP(VALUE($F27),$C$56:$C$64,$D$56:$D$64),""))</f>
        <v>0</v>
      </c>
      <c r="H27" s="146" t="s">
        <v>117</v>
      </c>
      <c r="I27" s="70" t="n">
        <f aca="false">IF($H27="VOID",0,$G27)</f>
        <v>0</v>
      </c>
      <c r="J27" s="71" t="n">
        <v>0</v>
      </c>
      <c r="K27" s="72" t="str">
        <f aca="false">IF($J27="","n/a",IF($I27=$J27,"ok","MISMATCH"))</f>
        <v>ok</v>
      </c>
      <c r="L27" s="144" t="n">
        <v>16000</v>
      </c>
      <c r="M27" s="16"/>
      <c r="O27" s="38" t="s">
        <v>163</v>
      </c>
    </row>
    <row r="28" customFormat="false" ht="15" hidden="false" customHeight="true" outlineLevel="0" collapsed="false">
      <c r="B28" s="66" t="s">
        <v>318</v>
      </c>
      <c r="C28" s="14" t="s">
        <v>1050</v>
      </c>
      <c r="D28" s="68" t="n">
        <v>3</v>
      </c>
      <c r="E28" s="99" t="s">
        <v>558</v>
      </c>
      <c r="F28" s="69" t="s">
        <v>527</v>
      </c>
      <c r="G28" s="70" t="n">
        <f aca="false">IF($F28="","",IFERROR(LOOKUP(VALUE($F28),$C$56:$C$64,$D$56:$D$64),""))</f>
        <v>0</v>
      </c>
      <c r="H28" s="146" t="s">
        <v>117</v>
      </c>
      <c r="I28" s="70" t="n">
        <f aca="false">IF($H28="VOID",0,$G28)</f>
        <v>0</v>
      </c>
      <c r="J28" s="71"/>
      <c r="K28" s="72" t="str">
        <f aca="false">IF($J28="","n/a",IF($I28=$J28,"ok","MISMATCH"))</f>
        <v>n/a</v>
      </c>
      <c r="L28" s="144" t="n">
        <v>14000</v>
      </c>
      <c r="M28" s="16"/>
      <c r="O28" s="38" t="s">
        <v>318</v>
      </c>
    </row>
    <row r="29" customFormat="false" ht="15" hidden="false" customHeight="true" outlineLevel="0" collapsed="false">
      <c r="B29" s="66" t="s">
        <v>320</v>
      </c>
      <c r="C29" s="14" t="s">
        <v>1050</v>
      </c>
      <c r="D29" s="68" t="n">
        <v>6</v>
      </c>
      <c r="E29" s="102" t="s">
        <v>560</v>
      </c>
      <c r="F29" s="69" t="s">
        <v>634</v>
      </c>
      <c r="G29" s="70" t="n">
        <f aca="false">IF($F29="","",IFERROR(LOOKUP(VALUE($F29),$C$56:$C$64,$D$56:$D$64),""))</f>
        <v>0</v>
      </c>
      <c r="H29" s="146" t="s">
        <v>117</v>
      </c>
      <c r="I29" s="70" t="n">
        <f aca="false">IF($H29="VOID",0,$G29)</f>
        <v>0</v>
      </c>
      <c r="J29" s="71"/>
      <c r="K29" s="72" t="str">
        <f aca="false">IF($J29="","n/a",IF($I29=$J29,"ok","MISMATCH"))</f>
        <v>n/a</v>
      </c>
      <c r="L29" s="144" t="n">
        <v>12000</v>
      </c>
      <c r="M29" s="16"/>
      <c r="O29" s="38" t="s">
        <v>320</v>
      </c>
    </row>
    <row r="30" customFormat="false" ht="15" hidden="false" customHeight="true" outlineLevel="0" collapsed="false">
      <c r="B30" s="66" t="s">
        <v>279</v>
      </c>
      <c r="C30" s="14" t="s">
        <v>1243</v>
      </c>
      <c r="D30" s="68" t="n">
        <v>4</v>
      </c>
      <c r="E30" s="99" t="s">
        <v>558</v>
      </c>
      <c r="F30" s="69" t="s">
        <v>635</v>
      </c>
      <c r="G30" s="70" t="n">
        <f aca="false">IF($F30="","",IFERROR(LOOKUP(VALUE($F30),$C$56:$C$64,$D$56:$D$64),""))</f>
        <v>0</v>
      </c>
      <c r="H30" s="146" t="s">
        <v>117</v>
      </c>
      <c r="I30" s="70" t="n">
        <f aca="false">IF($H30="VOID",0,$G30)</f>
        <v>0</v>
      </c>
      <c r="J30" s="71"/>
      <c r="K30" s="72" t="str">
        <f aca="false">IF($J30="","n/a",IF($I30=$J30,"ok","MISMATCH"))</f>
        <v>n/a</v>
      </c>
      <c r="L30" s="144" t="n">
        <v>10000</v>
      </c>
      <c r="M30" s="16"/>
      <c r="O30" s="38" t="s">
        <v>279</v>
      </c>
    </row>
    <row r="31" customFormat="false" ht="15" hidden="false" customHeight="true" outlineLevel="0" collapsed="false">
      <c r="B31" s="66" t="s">
        <v>1247</v>
      </c>
      <c r="C31" s="14" t="s">
        <v>1050</v>
      </c>
      <c r="D31" s="68" t="n">
        <v>10</v>
      </c>
      <c r="E31" s="109" t="s">
        <v>565</v>
      </c>
      <c r="F31" s="69" t="s">
        <v>639</v>
      </c>
      <c r="G31" s="70" t="n">
        <f aca="false">IF($F31="","",IFERROR(LOOKUP(VALUE($F31),$C$56:$C$64,$D$56:$D$64),""))</f>
        <v>0</v>
      </c>
      <c r="H31" s="146" t="s">
        <v>117</v>
      </c>
      <c r="I31" s="70" t="n">
        <f aca="false">IF($H31="VOID",0,$G31)</f>
        <v>0</v>
      </c>
      <c r="J31" s="71"/>
      <c r="K31" s="72" t="str">
        <f aca="false">IF($J31="","n/a",IF($I31=$J31,"ok","MISMATCH"))</f>
        <v>n/a</v>
      </c>
      <c r="L31" s="144" t="n">
        <v>9000</v>
      </c>
      <c r="M31" s="16"/>
      <c r="O31" s="38" t="s">
        <v>1247</v>
      </c>
    </row>
    <row r="32" customFormat="false" ht="15" hidden="false" customHeight="true" outlineLevel="0" collapsed="false">
      <c r="B32" s="66" t="s">
        <v>1248</v>
      </c>
      <c r="C32" s="14" t="s">
        <v>616</v>
      </c>
      <c r="D32" s="68" t="n">
        <v>10</v>
      </c>
      <c r="E32" s="102" t="s">
        <v>560</v>
      </c>
      <c r="F32" s="69" t="s">
        <v>641</v>
      </c>
      <c r="G32" s="70" t="n">
        <f aca="false">IF($F32="","",IFERROR(LOOKUP(VALUE($F32),$C$56:$C$64,$D$56:$D$64),""))</f>
        <v>0</v>
      </c>
      <c r="H32" s="146" t="s">
        <v>117</v>
      </c>
      <c r="I32" s="70" t="n">
        <f aca="false">IF($H32="VOID",0,$G32)</f>
        <v>0</v>
      </c>
      <c r="J32" s="71"/>
      <c r="K32" s="72" t="str">
        <f aca="false">IF($J32="","n/a",IF($I32=$J32,"ok","MISMATCH"))</f>
        <v>n/a</v>
      </c>
      <c r="L32" s="144" t="n">
        <v>8250</v>
      </c>
      <c r="M32" s="16"/>
      <c r="O32" s="38" t="s">
        <v>1248</v>
      </c>
    </row>
    <row r="33" customFormat="false" ht="15" hidden="false" customHeight="true" outlineLevel="0" collapsed="false">
      <c r="B33" s="66" t="s">
        <v>189</v>
      </c>
      <c r="C33" s="14" t="s">
        <v>616</v>
      </c>
      <c r="D33" s="68" t="n">
        <v>2</v>
      </c>
      <c r="E33" s="99" t="s">
        <v>558</v>
      </c>
      <c r="F33" s="69" t="s">
        <v>642</v>
      </c>
      <c r="G33" s="70" t="n">
        <f aca="false">IF($F33="","",IFERROR(LOOKUP(VALUE($F33),$C$56:$C$64,$D$56:$D$64),""))</f>
        <v>0</v>
      </c>
      <c r="H33" s="146" t="s">
        <v>117</v>
      </c>
      <c r="I33" s="70" t="n">
        <f aca="false">IF($H33="VOID",0,$G33)</f>
        <v>0</v>
      </c>
      <c r="J33" s="71" t="n">
        <v>0</v>
      </c>
      <c r="K33" s="72" t="str">
        <f aca="false">IF($J33="","n/a",IF($I33=$J33,"ok","MISMATCH"))</f>
        <v>ok</v>
      </c>
      <c r="L33" s="144" t="n">
        <v>7500</v>
      </c>
      <c r="M33" s="16"/>
      <c r="O33" s="38" t="s">
        <v>189</v>
      </c>
    </row>
    <row r="34" customFormat="false" ht="15" hidden="false" customHeight="true" outlineLevel="0" collapsed="false">
      <c r="B34" s="66" t="s">
        <v>228</v>
      </c>
      <c r="C34" s="14" t="s">
        <v>616</v>
      </c>
      <c r="D34" s="68" t="n">
        <v>5</v>
      </c>
      <c r="E34" s="99" t="s">
        <v>558</v>
      </c>
      <c r="F34" s="69" t="s">
        <v>644</v>
      </c>
      <c r="G34" s="70" t="n">
        <f aca="false">IF($F34="","",IFERROR(LOOKUP(VALUE($F34),$C$56:$C$64,$D$56:$D$64),""))</f>
        <v>0</v>
      </c>
      <c r="H34" s="146" t="s">
        <v>117</v>
      </c>
      <c r="I34" s="70" t="n">
        <f aca="false">IF($H34="VOID",0,$G34)</f>
        <v>0</v>
      </c>
      <c r="J34" s="71" t="n">
        <v>0</v>
      </c>
      <c r="K34" s="72" t="str">
        <f aca="false">IF($J34="","n/a",IF($I34=$J34,"ok","MISMATCH"))</f>
        <v>ok</v>
      </c>
      <c r="L34" s="144" t="n">
        <v>7000</v>
      </c>
      <c r="M34" s="16"/>
      <c r="O34" s="38" t="s">
        <v>228</v>
      </c>
    </row>
    <row r="35" customFormat="false" ht="15" hidden="false" customHeight="true" outlineLevel="0" collapsed="false">
      <c r="B35" s="66" t="s">
        <v>310</v>
      </c>
      <c r="C35" s="14" t="s">
        <v>1245</v>
      </c>
      <c r="D35" s="68" t="n">
        <v>5</v>
      </c>
      <c r="E35" s="102" t="s">
        <v>560</v>
      </c>
      <c r="F35" s="69" t="s">
        <v>646</v>
      </c>
      <c r="G35" s="70" t="n">
        <f aca="false">IF($F35="","",IFERROR(LOOKUP(VALUE($F35),$C$56:$C$64,$D$56:$D$64),""))</f>
        <v>0</v>
      </c>
      <c r="H35" s="146" t="s">
        <v>117</v>
      </c>
      <c r="I35" s="70" t="n">
        <f aca="false">IF($H35="VOID",0,$G35)</f>
        <v>0</v>
      </c>
      <c r="J35" s="71"/>
      <c r="K35" s="72" t="str">
        <f aca="false">IF($J35="","n/a",IF($I35=$J35,"ok","MISMATCH"))</f>
        <v>n/a</v>
      </c>
      <c r="L35" s="144" t="n">
        <v>6500</v>
      </c>
      <c r="M35" s="16"/>
      <c r="O35" s="38" t="s">
        <v>310</v>
      </c>
    </row>
    <row r="36" customFormat="false" ht="15" hidden="false" customHeight="true" outlineLevel="0" collapsed="false">
      <c r="B36" s="66" t="s">
        <v>161</v>
      </c>
      <c r="C36" s="14" t="s">
        <v>1245</v>
      </c>
      <c r="D36" s="68" t="n">
        <v>8</v>
      </c>
      <c r="E36" s="109" t="s">
        <v>565</v>
      </c>
      <c r="F36" s="69" t="s">
        <v>649</v>
      </c>
      <c r="G36" s="70" t="n">
        <f aca="false">IF($F36="","",IFERROR(LOOKUP(VALUE($F36),$C$56:$C$64,$D$56:$D$64),""))</f>
        <v>0</v>
      </c>
      <c r="H36" s="146" t="s">
        <v>117</v>
      </c>
      <c r="I36" s="70" t="n">
        <f aca="false">IF($H36="VOID",0,$G36)</f>
        <v>0</v>
      </c>
      <c r="J36" s="71" t="n">
        <v>0</v>
      </c>
      <c r="K36" s="72" t="str">
        <f aca="false">IF($J36="","n/a",IF($I36=$J36,"ok","MISMATCH"))</f>
        <v>ok</v>
      </c>
      <c r="L36" s="144" t="n">
        <v>6000</v>
      </c>
      <c r="M36" s="16"/>
      <c r="O36" s="38" t="s">
        <v>161</v>
      </c>
    </row>
    <row r="37" customFormat="false" ht="15" hidden="false" customHeight="true" outlineLevel="0" collapsed="false">
      <c r="B37" s="66" t="s">
        <v>1249</v>
      </c>
      <c r="C37" s="14" t="s">
        <v>1243</v>
      </c>
      <c r="D37" s="68" t="n">
        <v>8</v>
      </c>
      <c r="E37" s="109" t="s">
        <v>565</v>
      </c>
      <c r="F37" s="69" t="s">
        <v>721</v>
      </c>
      <c r="G37" s="70" t="n">
        <f aca="false">IF($F37="","",IFERROR(LOOKUP(VALUE($F37),$C$56:$C$64,$D$56:$D$64),""))</f>
        <v>0</v>
      </c>
      <c r="H37" s="146" t="s">
        <v>117</v>
      </c>
      <c r="I37" s="70" t="n">
        <f aca="false">IF($H37="VOID",0,$G37)</f>
        <v>0</v>
      </c>
      <c r="J37" s="71"/>
      <c r="K37" s="72" t="str">
        <f aca="false">IF($J37="","n/a",IF($I37=$J37,"ok","MISMATCH"))</f>
        <v>n/a</v>
      </c>
      <c r="L37" s="144" t="n">
        <v>5750</v>
      </c>
      <c r="M37" s="16"/>
      <c r="O37" s="38" t="s">
        <v>1249</v>
      </c>
    </row>
    <row r="38" customFormat="false" ht="15" hidden="false" customHeight="true" outlineLevel="0" collapsed="false">
      <c r="B38" s="66" t="s">
        <v>157</v>
      </c>
      <c r="C38" s="14" t="s">
        <v>1050</v>
      </c>
      <c r="D38" s="68" t="n">
        <v>1</v>
      </c>
      <c r="E38" s="99" t="s">
        <v>558</v>
      </c>
      <c r="F38" s="69" t="s">
        <v>725</v>
      </c>
      <c r="G38" s="70" t="n">
        <f aca="false">IF($F38="","",IFERROR(LOOKUP(VALUE($F38),$C$56:$C$64,$D$56:$D$64),""))</f>
        <v>0</v>
      </c>
      <c r="H38" s="146" t="s">
        <v>117</v>
      </c>
      <c r="I38" s="70" t="n">
        <f aca="false">IF($H38="VOID",0,$G38)</f>
        <v>0</v>
      </c>
      <c r="J38" s="71" t="n">
        <v>0</v>
      </c>
      <c r="K38" s="72" t="str">
        <f aca="false">IF($J38="","n/a",IF($I38=$J38,"ok","MISMATCH"))</f>
        <v>ok</v>
      </c>
      <c r="L38" s="144" t="n">
        <v>5500</v>
      </c>
      <c r="M38" s="16"/>
      <c r="O38" s="38" t="s">
        <v>157</v>
      </c>
    </row>
    <row r="39" customFormat="false" ht="15" hidden="false" customHeight="true" outlineLevel="0" collapsed="false">
      <c r="B39" s="66" t="s">
        <v>1250</v>
      </c>
      <c r="C39" s="14" t="s">
        <v>1245</v>
      </c>
      <c r="D39" s="68" t="n">
        <v>3</v>
      </c>
      <c r="E39" s="102" t="s">
        <v>560</v>
      </c>
      <c r="F39" s="69" t="s">
        <v>727</v>
      </c>
      <c r="G39" s="70" t="n">
        <f aca="false">IF($F39="","",IFERROR(LOOKUP(VALUE($F39),$C$56:$C$64,$D$56:$D$64),""))</f>
        <v>0</v>
      </c>
      <c r="H39" s="146" t="s">
        <v>117</v>
      </c>
      <c r="I39" s="70" t="n">
        <f aca="false">IF($H39="VOID",0,$G39)</f>
        <v>0</v>
      </c>
      <c r="J39" s="71"/>
      <c r="K39" s="72" t="str">
        <f aca="false">IF($J39="","n/a",IF($I39=$J39,"ok","MISMATCH"))</f>
        <v>n/a</v>
      </c>
      <c r="L39" s="144" t="n">
        <v>5250</v>
      </c>
      <c r="M39" s="74" t="s">
        <v>1251</v>
      </c>
      <c r="O39" s="38" t="s">
        <v>1250</v>
      </c>
    </row>
    <row r="40" customFormat="false" ht="15" hidden="false" customHeight="true" outlineLevel="0" collapsed="false">
      <c r="B40" s="66" t="s">
        <v>1252</v>
      </c>
      <c r="C40" s="14" t="s">
        <v>1245</v>
      </c>
      <c r="D40" s="68" t="n">
        <v>4</v>
      </c>
      <c r="E40" s="99" t="s">
        <v>558</v>
      </c>
      <c r="F40" s="69" t="s">
        <v>730</v>
      </c>
      <c r="G40" s="70" t="n">
        <f aca="false">IF($F40="","",IFERROR(LOOKUP(VALUE($F40),$C$56:$C$64,$D$56:$D$64),""))</f>
        <v>0</v>
      </c>
      <c r="H40" s="146" t="s">
        <v>117</v>
      </c>
      <c r="I40" s="70" t="n">
        <f aca="false">IF($H40="VOID",0,$G40)</f>
        <v>0</v>
      </c>
      <c r="J40" s="71"/>
      <c r="K40" s="72" t="str">
        <f aca="false">IF($J40="","n/a",IF($I40=$J40,"ok","MISMATCH"))</f>
        <v>n/a</v>
      </c>
      <c r="L40" s="144" t="n">
        <v>5000</v>
      </c>
      <c r="M40" s="16"/>
      <c r="O40" s="38" t="s">
        <v>1252</v>
      </c>
    </row>
    <row r="41" customFormat="false" ht="15" hidden="false" customHeight="true" outlineLevel="0" collapsed="false">
      <c r="B41" s="66" t="s">
        <v>1253</v>
      </c>
      <c r="C41" s="14" t="s">
        <v>1243</v>
      </c>
      <c r="D41" s="68" t="n">
        <v>10</v>
      </c>
      <c r="E41" s="109" t="s">
        <v>565</v>
      </c>
      <c r="F41" s="69" t="s">
        <v>732</v>
      </c>
      <c r="G41" s="70" t="n">
        <f aca="false">IF($F41="","",IFERROR(LOOKUP(VALUE($F41),$C$56:$C$64,$D$56:$D$64),""))</f>
        <v>0</v>
      </c>
      <c r="H41" s="146" t="s">
        <v>117</v>
      </c>
      <c r="I41" s="70" t="n">
        <f aca="false">IF($H41="VOID",0,$G41)</f>
        <v>0</v>
      </c>
      <c r="J41" s="71"/>
      <c r="K41" s="72" t="str">
        <f aca="false">IF($J41="","n/a",IF($I41=$J41,"ok","MISMATCH"))</f>
        <v>n/a</v>
      </c>
      <c r="L41" s="144" t="n">
        <v>4750</v>
      </c>
      <c r="M41" s="16"/>
      <c r="O41" s="38" t="s">
        <v>1253</v>
      </c>
    </row>
    <row r="42" customFormat="false" ht="15" hidden="false" customHeight="true" outlineLevel="0" collapsed="false">
      <c r="B42" s="66" t="s">
        <v>1254</v>
      </c>
      <c r="C42" s="14" t="s">
        <v>1243</v>
      </c>
      <c r="D42" s="68" t="n">
        <v>5</v>
      </c>
      <c r="E42" s="102" t="s">
        <v>560</v>
      </c>
      <c r="F42" s="69" t="s">
        <v>734</v>
      </c>
      <c r="G42" s="70" t="n">
        <f aca="false">IF($F42="","",IFERROR(LOOKUP(VALUE($F42),$C$56:$C$64,$D$56:$D$64),""))</f>
        <v>0</v>
      </c>
      <c r="H42" s="146" t="s">
        <v>117</v>
      </c>
      <c r="I42" s="70" t="n">
        <f aca="false">IF($H42="VOID",0,$G42)</f>
        <v>0</v>
      </c>
      <c r="J42" s="71"/>
      <c r="K42" s="72" t="str">
        <f aca="false">IF($J42="","n/a",IF($I42=$J42,"ok","MISMATCH"))</f>
        <v>n/a</v>
      </c>
      <c r="L42" s="144" t="n">
        <v>4500</v>
      </c>
      <c r="M42" s="16"/>
      <c r="O42" s="38" t="s">
        <v>1254</v>
      </c>
    </row>
    <row r="43" customFormat="false" ht="15" hidden="false" customHeight="true" outlineLevel="0" collapsed="false">
      <c r="B43" s="66" t="s">
        <v>123</v>
      </c>
      <c r="C43" s="14" t="s">
        <v>1050</v>
      </c>
      <c r="D43" s="68" t="n">
        <v>2</v>
      </c>
      <c r="E43" s="99" t="s">
        <v>558</v>
      </c>
      <c r="F43" s="69" t="s">
        <v>738</v>
      </c>
      <c r="G43" s="70" t="n">
        <f aca="false">IF($F43="","",IFERROR(LOOKUP(VALUE($F43),$C$56:$C$64,$D$56:$D$64),""))</f>
        <v>0</v>
      </c>
      <c r="H43" s="146" t="s">
        <v>117</v>
      </c>
      <c r="I43" s="70" t="n">
        <f aca="false">IF($H43="VOID",0,$G43)</f>
        <v>0</v>
      </c>
      <c r="J43" s="71" t="n">
        <v>0</v>
      </c>
      <c r="K43" s="72" t="str">
        <f aca="false">IF($J43="","n/a",IF($I43=$J43,"ok","MISMATCH"))</f>
        <v>ok</v>
      </c>
      <c r="L43" s="144" t="n">
        <v>4250</v>
      </c>
      <c r="M43" s="16"/>
      <c r="O43" s="38" t="s">
        <v>123</v>
      </c>
    </row>
    <row r="44" customFormat="false" ht="15" hidden="false" customHeight="true" outlineLevel="0" collapsed="false">
      <c r="B44" s="66" t="s">
        <v>1255</v>
      </c>
      <c r="C44" s="14" t="s">
        <v>616</v>
      </c>
      <c r="D44" s="68" t="n">
        <v>12</v>
      </c>
      <c r="E44" s="109" t="s">
        <v>565</v>
      </c>
      <c r="F44" s="69" t="s">
        <v>741</v>
      </c>
      <c r="G44" s="70" t="n">
        <f aca="false">IF($F44="","",IFERROR(LOOKUP(VALUE($F44),$C$56:$C$64,$D$56:$D$64),""))</f>
        <v>0</v>
      </c>
      <c r="H44" s="146" t="s">
        <v>117</v>
      </c>
      <c r="I44" s="70" t="n">
        <f aca="false">IF($H44="VOID",0,$G44)</f>
        <v>0</v>
      </c>
      <c r="J44" s="71"/>
      <c r="K44" s="72" t="str">
        <f aca="false">IF($J44="","n/a",IF($I44=$J44,"ok","MISMATCH"))</f>
        <v>n/a</v>
      </c>
      <c r="L44" s="144" t="n">
        <v>4000</v>
      </c>
      <c r="M44" s="16"/>
      <c r="O44" s="38" t="s">
        <v>1255</v>
      </c>
    </row>
    <row r="45" customFormat="false" ht="15" hidden="false" customHeight="true" outlineLevel="0" collapsed="false">
      <c r="B45" s="66" t="s">
        <v>1256</v>
      </c>
      <c r="C45" s="14" t="s">
        <v>1245</v>
      </c>
      <c r="D45" s="68" t="n">
        <v>7</v>
      </c>
      <c r="E45" s="102" t="s">
        <v>560</v>
      </c>
      <c r="F45" s="69" t="s">
        <v>1257</v>
      </c>
      <c r="G45" s="70" t="n">
        <f aca="false">IF($F45="","",IFERROR(LOOKUP(VALUE($F45),$C$56:$C$64,$D$56:$D$64),""))</f>
        <v>0</v>
      </c>
      <c r="H45" s="146" t="s">
        <v>117</v>
      </c>
      <c r="I45" s="70" t="n">
        <f aca="false">IF($H45="VOID",0,$G45)</f>
        <v>0</v>
      </c>
      <c r="J45" s="71"/>
      <c r="K45" s="72" t="str">
        <f aca="false">IF($J45="","n/a",IF($I45=$J45,"ok","MISMATCH"))</f>
        <v>n/a</v>
      </c>
      <c r="L45" s="144" t="n">
        <v>3750</v>
      </c>
      <c r="M45" s="16" t="s">
        <v>1258</v>
      </c>
      <c r="O45" s="38" t="s">
        <v>1256</v>
      </c>
    </row>
    <row r="46" customFormat="false" ht="15" hidden="false" customHeight="true" outlineLevel="0" collapsed="false">
      <c r="B46" s="66" t="s">
        <v>197</v>
      </c>
      <c r="C46" s="14" t="s">
        <v>1050</v>
      </c>
      <c r="D46" s="68" t="n">
        <v>8</v>
      </c>
      <c r="E46" s="109" t="s">
        <v>565</v>
      </c>
      <c r="F46" s="69" t="s">
        <v>1259</v>
      </c>
      <c r="G46" s="70" t="n">
        <f aca="false">IF($F46="","",IFERROR(LOOKUP(VALUE($F46),$C$56:$C$64,$D$56:$D$64),""))</f>
        <v>0</v>
      </c>
      <c r="H46" s="146" t="s">
        <v>117</v>
      </c>
      <c r="I46" s="70" t="n">
        <f aca="false">IF($H46="VOID",0,$G46)</f>
        <v>0</v>
      </c>
      <c r="J46" s="71" t="n">
        <v>0</v>
      </c>
      <c r="K46" s="72" t="str">
        <f aca="false">IF($J46="","n/a",IF($I46=$J46,"ok","MISMATCH"))</f>
        <v>ok</v>
      </c>
      <c r="L46" s="144" t="n">
        <v>3500</v>
      </c>
      <c r="M46" s="16"/>
      <c r="O46" s="38" t="s">
        <v>197</v>
      </c>
    </row>
    <row r="47" customFormat="false" ht="15" hidden="false" customHeight="true" outlineLevel="0" collapsed="false">
      <c r="B47" s="66" t="s">
        <v>1260</v>
      </c>
      <c r="C47" s="14" t="s">
        <v>1245</v>
      </c>
      <c r="D47" s="68" t="n">
        <v>9</v>
      </c>
      <c r="E47" s="109" t="s">
        <v>565</v>
      </c>
      <c r="F47" s="69" t="s">
        <v>1261</v>
      </c>
      <c r="G47" s="70" t="n">
        <f aca="false">IF($F47="","",IFERROR(LOOKUP(VALUE($F47),$C$56:$C$64,$D$56:$D$64),""))</f>
        <v>0</v>
      </c>
      <c r="H47" s="146" t="s">
        <v>117</v>
      </c>
      <c r="I47" s="70" t="n">
        <f aca="false">IF($H47="VOID",0,$G47)</f>
        <v>0</v>
      </c>
      <c r="J47" s="71"/>
      <c r="K47" s="72" t="str">
        <f aca="false">IF($J47="","n/a",IF($I47=$J47,"ok","MISMATCH"))</f>
        <v>n/a</v>
      </c>
      <c r="L47" s="144" t="n">
        <v>3250</v>
      </c>
      <c r="M47" s="16"/>
      <c r="O47" s="38" t="s">
        <v>1260</v>
      </c>
    </row>
    <row r="48" customFormat="false" ht="15" hidden="false" customHeight="true" outlineLevel="0" collapsed="false">
      <c r="B48" s="66" t="s">
        <v>1262</v>
      </c>
      <c r="C48" s="14" t="s">
        <v>1050</v>
      </c>
      <c r="D48" s="68" t="n">
        <v>7</v>
      </c>
      <c r="E48" s="102" t="s">
        <v>560</v>
      </c>
      <c r="F48" s="69" t="s">
        <v>1263</v>
      </c>
      <c r="G48" s="70" t="n">
        <f aca="false">IF($F48="","",IFERROR(LOOKUP(VALUE($F48),$C$56:$C$64,$D$56:$D$64),""))</f>
        <v>0</v>
      </c>
      <c r="H48" s="146" t="s">
        <v>117</v>
      </c>
      <c r="I48" s="70" t="n">
        <f aca="false">IF($H48="VOID",0,$G48)</f>
        <v>0</v>
      </c>
      <c r="J48" s="71"/>
      <c r="K48" s="72" t="str">
        <f aca="false">IF($J48="","n/a",IF($I48=$J48,"ok","MISMATCH"))</f>
        <v>n/a</v>
      </c>
      <c r="L48" s="144" t="n">
        <v>3000</v>
      </c>
      <c r="M48" s="74" t="s">
        <v>1264</v>
      </c>
      <c r="O48" s="38" t="s">
        <v>1262</v>
      </c>
    </row>
    <row r="49" customFormat="false" ht="15" hidden="false" customHeight="true" outlineLevel="0" collapsed="false">
      <c r="B49" s="66" t="s">
        <v>1265</v>
      </c>
      <c r="C49" s="14" t="s">
        <v>1243</v>
      </c>
      <c r="D49" s="68" t="n">
        <v>6</v>
      </c>
      <c r="E49" s="102" t="s">
        <v>560</v>
      </c>
      <c r="F49" s="69" t="s">
        <v>1266</v>
      </c>
      <c r="G49" s="70" t="n">
        <f aca="false">IF($F49="","",IFERROR(LOOKUP(VALUE($F49),$C$56:$C$64,$D$56:$D$64),""))</f>
        <v>0</v>
      </c>
      <c r="H49" s="146" t="s">
        <v>117</v>
      </c>
      <c r="I49" s="70" t="n">
        <f aca="false">IF($H49="VOID",0,$G49)</f>
        <v>0</v>
      </c>
      <c r="J49" s="71"/>
      <c r="K49" s="72" t="str">
        <f aca="false">IF($J49="","n/a",IF($I49=$J49,"ok","MISMATCH"))</f>
        <v>n/a</v>
      </c>
      <c r="L49" s="144" t="n">
        <v>2750</v>
      </c>
      <c r="M49" s="16"/>
      <c r="O49" s="38" t="s">
        <v>1265</v>
      </c>
    </row>
    <row r="50" customFormat="false" ht="15" hidden="false" customHeight="true" outlineLevel="0" collapsed="false">
      <c r="B50" s="66" t="s">
        <v>1267</v>
      </c>
      <c r="C50" s="14" t="s">
        <v>1243</v>
      </c>
      <c r="D50" s="68" t="n">
        <v>7</v>
      </c>
      <c r="E50" s="102" t="s">
        <v>560</v>
      </c>
      <c r="F50" s="69" t="s">
        <v>1268</v>
      </c>
      <c r="G50" s="70" t="n">
        <f aca="false">IF($F50="","",IFERROR(LOOKUP(VALUE($F50),$C$56:$C$64,$D$56:$D$64),""))</f>
        <v>0</v>
      </c>
      <c r="H50" s="146" t="s">
        <v>117</v>
      </c>
      <c r="I50" s="70" t="n">
        <f aca="false">IF($H50="VOID",0,$G50)</f>
        <v>0</v>
      </c>
      <c r="J50" s="71"/>
      <c r="K50" s="72" t="str">
        <f aca="false">IF($J50="","n/a",IF($I50=$J50,"ok","MISMATCH"))</f>
        <v>n/a</v>
      </c>
      <c r="L50" s="144" t="n">
        <v>2500</v>
      </c>
      <c r="M50" s="16"/>
      <c r="O50" s="38" t="s">
        <v>1267</v>
      </c>
    </row>
    <row r="52" customFormat="false" ht="15" hidden="false" customHeight="true" outlineLevel="0" collapsed="false">
      <c r="B52" s="11" t="s">
        <v>1269</v>
      </c>
      <c r="I52" s="77" t="n">
        <f aca="false">SUM(I11:I50)</f>
        <v>2750</v>
      </c>
    </row>
    <row r="53" customFormat="false" ht="15" hidden="false" customHeight="true" outlineLevel="0" collapsed="false">
      <c r="B53" s="18" t="s">
        <v>1270</v>
      </c>
    </row>
    <row r="54" customFormat="false" ht="15" hidden="false" customHeight="true" outlineLevel="0" collapsed="false">
      <c r="B54" s="11" t="s">
        <v>461</v>
      </c>
    </row>
    <row r="55" customFormat="false" ht="15" hidden="false" customHeight="true" outlineLevel="0" collapsed="false">
      <c r="B55" s="4" t="s">
        <v>664</v>
      </c>
      <c r="C55" s="4" t="s">
        <v>464</v>
      </c>
    </row>
    <row r="56" customFormat="false" ht="15" hidden="false" customHeight="true" outlineLevel="0" collapsed="false">
      <c r="C56" s="13" t="n">
        <v>1</v>
      </c>
      <c r="D56" s="79" t="n">
        <v>1000</v>
      </c>
      <c r="E56" s="80"/>
    </row>
    <row r="57" customFormat="false" ht="15" hidden="false" customHeight="true" outlineLevel="0" collapsed="false">
      <c r="C57" s="13" t="n">
        <v>2</v>
      </c>
      <c r="D57" s="79" t="n">
        <v>750</v>
      </c>
      <c r="E57" s="80"/>
    </row>
    <row r="58" customFormat="false" ht="15" hidden="false" customHeight="true" outlineLevel="0" collapsed="false">
      <c r="C58" s="13" t="n">
        <v>3</v>
      </c>
      <c r="D58" s="79" t="n">
        <v>500</v>
      </c>
      <c r="E58" s="80"/>
    </row>
    <row r="59" customFormat="false" ht="15" hidden="false" customHeight="true" outlineLevel="0" collapsed="false">
      <c r="C59" s="13" t="n">
        <v>4</v>
      </c>
      <c r="D59" s="79" t="n">
        <v>300</v>
      </c>
      <c r="E59" s="80"/>
    </row>
    <row r="60" customFormat="false" ht="15" hidden="false" customHeight="true" outlineLevel="0" collapsed="false">
      <c r="C60" s="13" t="n">
        <v>5</v>
      </c>
      <c r="D60" s="79" t="n">
        <v>200</v>
      </c>
      <c r="E60" s="80"/>
    </row>
    <row r="61" customFormat="false" ht="15" hidden="false" customHeight="true" outlineLevel="0" collapsed="false">
      <c r="C61" s="13" t="n">
        <v>6</v>
      </c>
      <c r="D61" s="79" t="n">
        <v>150</v>
      </c>
      <c r="E61" s="80"/>
    </row>
    <row r="62" customFormat="false" ht="15" hidden="false" customHeight="true" outlineLevel="0" collapsed="false">
      <c r="C62" s="13" t="n">
        <v>7</v>
      </c>
      <c r="D62" s="79" t="n">
        <v>100</v>
      </c>
      <c r="E62" s="80"/>
    </row>
    <row r="63" customFormat="false" ht="15" hidden="false" customHeight="true" outlineLevel="0" collapsed="false">
      <c r="C63" s="13" t="n">
        <v>8</v>
      </c>
      <c r="D63" s="79" t="n">
        <v>50</v>
      </c>
      <c r="E63" s="80"/>
    </row>
    <row r="64" customFormat="false" ht="15" hidden="false" customHeight="true" outlineLevel="0" collapsed="false">
      <c r="C64" s="13" t="n">
        <v>9</v>
      </c>
      <c r="D64" s="79" t="n">
        <v>0</v>
      </c>
      <c r="E64" s="80" t="s">
        <v>665</v>
      </c>
    </row>
    <row r="67" customFormat="false" ht="15" hidden="false" customHeight="true" outlineLevel="0" collapsed="false">
      <c r="B67" s="11" t="s">
        <v>1229</v>
      </c>
    </row>
    <row r="68" customFormat="false" ht="15" hidden="false" customHeight="true" outlineLevel="0" collapsed="false">
      <c r="B68" s="3" t="s">
        <v>1271</v>
      </c>
      <c r="C68" s="3"/>
      <c r="D68" s="3"/>
      <c r="E68" s="3"/>
      <c r="F68" s="3"/>
      <c r="G68" s="3"/>
      <c r="H68" s="3"/>
      <c r="I68" s="3"/>
      <c r="J68" s="3"/>
      <c r="K68" s="3"/>
      <c r="L68" s="3"/>
      <c r="M68" s="3"/>
    </row>
    <row r="69" customFormat="false" ht="15" hidden="false" customHeight="true" outlineLevel="0" collapsed="false">
      <c r="B69" s="3"/>
      <c r="C69" s="3"/>
      <c r="D69" s="3"/>
      <c r="E69" s="3"/>
      <c r="F69" s="3"/>
      <c r="G69" s="3"/>
      <c r="H69" s="3"/>
      <c r="I69" s="3"/>
      <c r="J69" s="3"/>
      <c r="K69" s="3"/>
      <c r="L69" s="3"/>
      <c r="M69" s="3"/>
    </row>
    <row r="70" customFormat="false" ht="15" hidden="false" customHeight="true" outlineLevel="0" collapsed="false">
      <c r="B70" s="3"/>
      <c r="C70" s="3"/>
      <c r="D70" s="3"/>
      <c r="E70" s="3"/>
      <c r="F70" s="3"/>
      <c r="G70" s="3"/>
      <c r="H70" s="3"/>
      <c r="I70" s="3"/>
      <c r="J70" s="3"/>
      <c r="K70" s="3"/>
      <c r="L70" s="3"/>
      <c r="M70" s="3"/>
    </row>
    <row r="71" customFormat="false" ht="15" hidden="false" customHeight="true" outlineLevel="0" collapsed="false">
      <c r="B71" s="3"/>
      <c r="C71" s="3"/>
      <c r="D71" s="3"/>
      <c r="E71" s="3"/>
      <c r="F71" s="3"/>
      <c r="G71" s="3"/>
      <c r="H71" s="3"/>
      <c r="I71" s="3"/>
      <c r="J71" s="3"/>
      <c r="K71" s="3"/>
      <c r="L71" s="3"/>
      <c r="M71" s="3"/>
    </row>
    <row r="72" customFormat="false" ht="15" hidden="false" customHeight="true" outlineLevel="0" collapsed="false">
      <c r="B72" s="3"/>
      <c r="C72" s="3"/>
      <c r="D72" s="3"/>
      <c r="E72" s="3"/>
      <c r="F72" s="3"/>
      <c r="G72" s="3"/>
      <c r="H72" s="3"/>
      <c r="I72" s="3"/>
      <c r="J72" s="3"/>
      <c r="K72" s="3"/>
      <c r="L72" s="3"/>
      <c r="M72" s="3"/>
    </row>
    <row r="73" customFormat="false" ht="15" hidden="false" customHeight="true" outlineLevel="0" collapsed="false">
      <c r="B73" s="3"/>
      <c r="C73" s="3"/>
      <c r="D73" s="3"/>
      <c r="E73" s="3"/>
      <c r="F73" s="3"/>
      <c r="G73" s="3"/>
      <c r="H73" s="3"/>
      <c r="I73" s="3"/>
      <c r="J73" s="3"/>
      <c r="K73" s="3"/>
      <c r="L73" s="3"/>
      <c r="M73" s="3"/>
    </row>
    <row r="74" customFormat="false" ht="15" hidden="false" customHeight="true" outlineLevel="0" collapsed="false">
      <c r="B74" s="3"/>
      <c r="C74" s="3"/>
      <c r="D74" s="3"/>
      <c r="E74" s="3"/>
      <c r="F74" s="3"/>
      <c r="G74" s="3"/>
      <c r="H74" s="3"/>
      <c r="I74" s="3"/>
      <c r="J74" s="3"/>
      <c r="K74" s="3"/>
      <c r="L74" s="3"/>
      <c r="M74" s="3"/>
    </row>
    <row r="75" customFormat="false" ht="15" hidden="false" customHeight="true" outlineLevel="0" collapsed="false">
      <c r="B75" s="3"/>
      <c r="C75" s="3"/>
      <c r="D75" s="3"/>
      <c r="E75" s="3"/>
      <c r="F75" s="3"/>
      <c r="G75" s="3"/>
      <c r="H75" s="3"/>
      <c r="I75" s="3"/>
      <c r="J75" s="3"/>
      <c r="K75" s="3"/>
      <c r="L75" s="3"/>
      <c r="M75" s="3"/>
    </row>
    <row r="77" customFormat="false" ht="23.25" hidden="false" customHeight="true" outlineLevel="0" collapsed="false">
      <c r="B77" s="4" t="s">
        <v>556</v>
      </c>
      <c r="C77" s="4" t="s">
        <v>573</v>
      </c>
      <c r="D77" s="4" t="s">
        <v>1059</v>
      </c>
      <c r="E77" s="4" t="s">
        <v>1060</v>
      </c>
      <c r="F77" s="4" t="s">
        <v>760</v>
      </c>
      <c r="G77" s="4" t="s">
        <v>761</v>
      </c>
    </row>
    <row r="78" customFormat="false" ht="15" hidden="false" customHeight="true" outlineLevel="0" collapsed="false">
      <c r="B78" s="110" t="s">
        <v>558</v>
      </c>
      <c r="C78" s="13" t="n">
        <f aca="false">COUNTIF($E$11:$E$50,$B78)</f>
        <v>17</v>
      </c>
      <c r="D78" s="13" t="n">
        <f aca="false">SUMPRODUCT(($E$11:$E$50=$B78)*($G$11:$G$50&gt;0))</f>
        <v>5</v>
      </c>
      <c r="E78" s="149" t="n">
        <f aca="false">IF(C78=0,"",D78/C78)</f>
        <v>0.294117647058824</v>
      </c>
      <c r="F78" s="13" t="n">
        <f aca="false">1</f>
        <v>1</v>
      </c>
      <c r="G78" s="13" t="n">
        <f aca="false">F78+C78-1</f>
        <v>17</v>
      </c>
    </row>
    <row r="79" customFormat="false" ht="15" hidden="false" customHeight="true" outlineLevel="0" collapsed="false">
      <c r="B79" s="113" t="s">
        <v>560</v>
      </c>
      <c r="C79" s="13" t="n">
        <f aca="false">COUNTIF($E$11:$E$50,$B79)</f>
        <v>15</v>
      </c>
      <c r="D79" s="13" t="n">
        <f aca="false">SUMPRODUCT(($E$11:$E$50=$B79)*($G$11:$G$50&gt;0))</f>
        <v>3</v>
      </c>
      <c r="E79" s="149" t="n">
        <f aca="false">IF(C79=0,"",D79/C79)</f>
        <v>0.2</v>
      </c>
      <c r="F79" s="13" t="n">
        <f aca="false">G78+1</f>
        <v>18</v>
      </c>
      <c r="G79" s="13" t="n">
        <f aca="false">F79+C79-1</f>
        <v>32</v>
      </c>
    </row>
    <row r="80" customFormat="false" ht="15" hidden="false" customHeight="true" outlineLevel="0" collapsed="false">
      <c r="B80" s="114" t="s">
        <v>565</v>
      </c>
      <c r="C80" s="13" t="n">
        <f aca="false">COUNTIF($E$11:$E$50,$B80)</f>
        <v>8</v>
      </c>
      <c r="D80" s="13" t="n">
        <f aca="false">SUMPRODUCT(($E$11:$E$50=$B80)*($G$11:$G$50&gt;0))</f>
        <v>0</v>
      </c>
      <c r="E80" s="149" t="n">
        <f aca="false">IF(C80=0,"",D80/C80)</f>
        <v>0</v>
      </c>
      <c r="F80" s="13" t="n">
        <f aca="false">G79+1</f>
        <v>33</v>
      </c>
      <c r="G80" s="13" t="n">
        <f aca="false">F80+C80-1</f>
        <v>40</v>
      </c>
    </row>
    <row r="82" customFormat="false" ht="15" hidden="false" customHeight="true" outlineLevel="0" collapsed="false">
      <c r="B82" s="18" t="s">
        <v>1272</v>
      </c>
    </row>
  </sheetData>
  <sheetProtection sheet="true" formatCells="false" selectLockedCells="true" selectUnlockedCells="true"/>
  <mergeCells count="1">
    <mergeCell ref="B68:M75"/>
  </mergeCells>
  <dataValidations count="3">
    <dataValidation allowBlank="true" error="Pick a placement from the list." errorStyle="stop" errorTitle="Use the dropdown" operator="between" showDropDown="false" showErrorMessage="false" showInputMessage="false" sqref="F11:F50" type="list">
      <formula1>"1,2,3,4,5,6,7,8,9,10,11,12,13,14,15,16,17,18,19,20,21,22,23,24,25,26,27,28,29,30,31,32,33,34,35,36,37,38,39,40"</formula1>
      <formula2>0</formula2>
    </dataValidation>
    <dataValidation allowBlank="true" errorStyle="stop" operator="between" showDropDown="false" showErrorMessage="false" showInputMessage="false" sqref="E11:E50" type="list">
      <formula1>"High,Medium,Low"</formula1>
      <formula2>0</formula2>
    </dataValidation>
    <dataValidation allowBlank="true" errorStyle="stop" operator="between" showDropDown="false" showErrorMessage="false" showInputMessage="false" sqref="C11:C50" type="list">
      <formula1>"APAC North,APAC South,EMEA,Americas"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4" min="3" style="1" width="20"/>
    <col collapsed="false" customWidth="true" hidden="false" outlineLevel="0" max="5" min="5" style="1" width="11"/>
    <col collapsed="false" customWidth="true" hidden="false" outlineLevel="0" max="6" min="6" style="1" width="10"/>
    <col collapsed="false" customWidth="true" hidden="false" outlineLevel="0" max="7" min="7" style="1" width="11"/>
    <col collapsed="false" customWidth="true" hidden="false" outlineLevel="0" max="8" min="8" style="1" width="12"/>
    <col collapsed="false" customWidth="true" hidden="false" outlineLevel="0" max="9" min="9" style="1" width="15"/>
    <col collapsed="false" customWidth="true" hidden="false" outlineLevel="0" max="10" min="10" style="1" width="10"/>
    <col collapsed="false" customWidth="true" hidden="false" outlineLevel="0" max="11" min="11" style="1" width="12"/>
    <col collapsed="false" customWidth="true" hidden="false" outlineLevel="0" max="12" min="12" style="1" width="34"/>
  </cols>
  <sheetData>
    <row r="2" customFormat="false" ht="18" hidden="false" customHeight="true" outlineLevel="0" collapsed="false">
      <c r="B2" s="2" t="s">
        <v>1273</v>
      </c>
    </row>
    <row r="3" customFormat="false" ht="15" hidden="false" customHeight="true" outlineLevel="0" collapsed="false">
      <c r="B3" s="18" t="s">
        <v>1274</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1275</v>
      </c>
      <c r="D6" s="28" t="s">
        <v>1276</v>
      </c>
      <c r="F6" s="28" t="s">
        <v>1277</v>
      </c>
      <c r="H6" s="28" t="s">
        <v>1187</v>
      </c>
      <c r="J6" s="28" t="s">
        <v>1278</v>
      </c>
      <c r="L6" s="28" t="s">
        <v>1070</v>
      </c>
    </row>
    <row r="8" customFormat="false" ht="15" hidden="false" customHeight="true" outlineLevel="0" collapsed="false">
      <c r="B8" s="11" t="s">
        <v>416</v>
      </c>
    </row>
    <row r="9" customFormat="false" ht="15" hidden="false" customHeight="true" outlineLevel="0" collapsed="false">
      <c r="B9" s="18" t="s">
        <v>1279</v>
      </c>
    </row>
    <row r="10" customFormat="false" ht="34.5" hidden="false" customHeight="true" outlineLevel="0" collapsed="false">
      <c r="B10" s="4" t="s">
        <v>1190</v>
      </c>
      <c r="C10" s="4" t="s">
        <v>426</v>
      </c>
      <c r="D10" s="4" t="s">
        <v>1280</v>
      </c>
      <c r="E10" s="4" t="s">
        <v>555</v>
      </c>
      <c r="F10" s="4" t="s">
        <v>556</v>
      </c>
      <c r="G10" s="4" t="s">
        <v>421</v>
      </c>
      <c r="H10" s="4" t="s">
        <v>422</v>
      </c>
      <c r="I10" s="4" t="s">
        <v>423</v>
      </c>
      <c r="J10" s="4" t="s">
        <v>424</v>
      </c>
      <c r="K10" s="4" t="s">
        <v>425</v>
      </c>
      <c r="L10" s="4" t="s">
        <v>41</v>
      </c>
      <c r="N10" s="4" t="s">
        <v>426</v>
      </c>
    </row>
    <row r="11" customFormat="false" ht="15" hidden="false" customHeight="true" outlineLevel="0" collapsed="false">
      <c r="B11" s="29" t="s">
        <v>374</v>
      </c>
      <c r="C11" s="31" t="s">
        <v>374</v>
      </c>
      <c r="D11" s="85" t="s">
        <v>1281</v>
      </c>
      <c r="E11" s="98" t="s">
        <v>603</v>
      </c>
      <c r="F11" s="99" t="s">
        <v>558</v>
      </c>
      <c r="G11" s="32" t="s">
        <v>427</v>
      </c>
      <c r="H11" s="33" t="n">
        <f aca="false">IF($G11="","",IFERROR(LOOKUP(VALUE(LEFT($G11&amp;"",FIND("-",$G11&amp;"-")-1)),$C$36:$C$41,$D$36:$D$41),""))</f>
        <v>1000</v>
      </c>
      <c r="I11" s="34"/>
      <c r="J11" s="35" t="str">
        <f aca="false">IF($I11="","n/a",IF($H11=$I11,"ok","MISMATCH"))</f>
        <v>n/a</v>
      </c>
      <c r="K11" s="137" t="n">
        <v>600000</v>
      </c>
      <c r="L11" s="85"/>
      <c r="N11" s="38" t="s">
        <v>374</v>
      </c>
    </row>
    <row r="12" customFormat="false" ht="15" hidden="false" customHeight="true" outlineLevel="0" collapsed="false">
      <c r="B12" s="39" t="s">
        <v>1282</v>
      </c>
      <c r="C12" s="156" t="s">
        <v>127</v>
      </c>
      <c r="D12" s="87" t="s">
        <v>1283</v>
      </c>
      <c r="E12" s="101" t="s">
        <v>603</v>
      </c>
      <c r="F12" s="99" t="s">
        <v>558</v>
      </c>
      <c r="G12" s="42" t="s">
        <v>428</v>
      </c>
      <c r="H12" s="43" t="n">
        <f aca="false">IF($G12="","",IFERROR(LOOKUP(VALUE(LEFT($G12&amp;"",FIND("-",$G12&amp;"-")-1)),$C$36:$C$41,$D$36:$D$41),""))</f>
        <v>750</v>
      </c>
      <c r="I12" s="44" t="n">
        <v>750</v>
      </c>
      <c r="J12" s="45" t="str">
        <f aca="false">IF($I12="","n/a",IF($H12=$I12,"ok","MISMATCH"))</f>
        <v>ok</v>
      </c>
      <c r="K12" s="139" t="n">
        <v>360000</v>
      </c>
      <c r="L12" s="87" t="s">
        <v>1284</v>
      </c>
      <c r="N12" s="38" t="s">
        <v>127</v>
      </c>
    </row>
    <row r="13" customFormat="false" ht="15" hidden="false" customHeight="true" outlineLevel="0" collapsed="false">
      <c r="B13" s="48" t="s">
        <v>163</v>
      </c>
      <c r="C13" s="50" t="s">
        <v>163</v>
      </c>
      <c r="D13" s="89" t="s">
        <v>1285</v>
      </c>
      <c r="E13" s="104" t="s">
        <v>1286</v>
      </c>
      <c r="F13" s="99" t="s">
        <v>558</v>
      </c>
      <c r="G13" s="51" t="s">
        <v>430</v>
      </c>
      <c r="H13" s="52" t="n">
        <f aca="false">IF($G13="","",IFERROR(LOOKUP(VALUE(LEFT($G13&amp;"",FIND("-",$G13&amp;"-")-1)),$C$36:$C$41,$D$36:$D$41),""))</f>
        <v>500</v>
      </c>
      <c r="I13" s="53" t="n">
        <v>500</v>
      </c>
      <c r="J13" s="54" t="str">
        <f aca="false">IF($I13="","n/a",IF($H13=$I13,"ok","MISMATCH"))</f>
        <v>ok</v>
      </c>
      <c r="K13" s="140" t="n">
        <v>280000</v>
      </c>
      <c r="L13" s="89"/>
      <c r="N13" s="38" t="s">
        <v>163</v>
      </c>
    </row>
    <row r="14" customFormat="false" ht="15" hidden="false" customHeight="true" outlineLevel="0" collapsed="false">
      <c r="B14" s="57" t="s">
        <v>204</v>
      </c>
      <c r="C14" s="59" t="s">
        <v>204</v>
      </c>
      <c r="D14" s="91" t="s">
        <v>1287</v>
      </c>
      <c r="E14" s="106" t="s">
        <v>1286</v>
      </c>
      <c r="F14" s="102" t="s">
        <v>560</v>
      </c>
      <c r="G14" s="60" t="s">
        <v>431</v>
      </c>
      <c r="H14" s="61" t="n">
        <f aca="false">IF($G14="","",IFERROR(LOOKUP(VALUE(LEFT($G14&amp;"",FIND("-",$G14&amp;"-")-1)),$C$36:$C$41,$D$36:$D$41),""))</f>
        <v>300</v>
      </c>
      <c r="I14" s="62" t="n">
        <v>300</v>
      </c>
      <c r="J14" s="63" t="str">
        <f aca="false">IF($I14="","n/a",IF($H14=$I14,"ok","MISMATCH"))</f>
        <v>ok</v>
      </c>
      <c r="K14" s="142" t="n">
        <v>200000</v>
      </c>
      <c r="L14" s="91"/>
      <c r="N14" s="38" t="s">
        <v>204</v>
      </c>
    </row>
    <row r="15" customFormat="false" ht="15" hidden="false" customHeight="true" outlineLevel="0" collapsed="false">
      <c r="B15" s="57" t="s">
        <v>157</v>
      </c>
      <c r="C15" s="59" t="s">
        <v>157</v>
      </c>
      <c r="D15" s="91" t="s">
        <v>1288</v>
      </c>
      <c r="E15" s="106" t="s">
        <v>1286</v>
      </c>
      <c r="F15" s="99" t="s">
        <v>558</v>
      </c>
      <c r="G15" s="60" t="s">
        <v>432</v>
      </c>
      <c r="H15" s="61" t="n">
        <f aca="false">IF($G15="","",IFERROR(LOOKUP(VALUE(LEFT($G15&amp;"",FIND("-",$G15&amp;"-")-1)),$C$36:$C$41,$D$36:$D$41),""))</f>
        <v>200</v>
      </c>
      <c r="I15" s="62" t="n">
        <v>200</v>
      </c>
      <c r="J15" s="63" t="str">
        <f aca="false">IF($I15="","n/a",IF($H15=$I15,"ok","MISMATCH"))</f>
        <v>ok</v>
      </c>
      <c r="K15" s="142" t="n">
        <v>150000</v>
      </c>
      <c r="L15" s="91"/>
      <c r="N15" s="38" t="s">
        <v>157</v>
      </c>
    </row>
    <row r="16" customFormat="false" ht="15" hidden="false" customHeight="true" outlineLevel="0" collapsed="false">
      <c r="B16" s="57" t="s">
        <v>1289</v>
      </c>
      <c r="C16" s="152" t="s">
        <v>119</v>
      </c>
      <c r="D16" s="91" t="s">
        <v>1290</v>
      </c>
      <c r="E16" s="106" t="s">
        <v>1291</v>
      </c>
      <c r="F16" s="102" t="s">
        <v>560</v>
      </c>
      <c r="G16" s="60" t="s">
        <v>432</v>
      </c>
      <c r="H16" s="61" t="n">
        <f aca="false">IF($G16="","",IFERROR(LOOKUP(VALUE(LEFT($G16&amp;"",FIND("-",$G16&amp;"-")-1)),$C$36:$C$41,$D$36:$D$41),""))</f>
        <v>200</v>
      </c>
      <c r="I16" s="62" t="n">
        <v>200</v>
      </c>
      <c r="J16" s="63" t="str">
        <f aca="false">IF($I16="","n/a",IF($H16=$I16,"ok","MISMATCH"))</f>
        <v>ok</v>
      </c>
      <c r="K16" s="142" t="n">
        <v>150000</v>
      </c>
      <c r="L16" s="91" t="s">
        <v>1202</v>
      </c>
      <c r="N16" s="38" t="s">
        <v>119</v>
      </c>
    </row>
    <row r="17" customFormat="false" ht="15" hidden="false" customHeight="true" outlineLevel="0" collapsed="false">
      <c r="B17" s="57" t="s">
        <v>123</v>
      </c>
      <c r="C17" s="59" t="s">
        <v>123</v>
      </c>
      <c r="D17" s="91" t="s">
        <v>1292</v>
      </c>
      <c r="E17" s="106" t="s">
        <v>596</v>
      </c>
      <c r="F17" s="109" t="s">
        <v>565</v>
      </c>
      <c r="G17" s="60" t="s">
        <v>432</v>
      </c>
      <c r="H17" s="61" t="n">
        <f aca="false">IF($G17="","",IFERROR(LOOKUP(VALUE(LEFT($G17&amp;"",FIND("-",$G17&amp;"-")-1)),$C$36:$C$41,$D$36:$D$41),""))</f>
        <v>200</v>
      </c>
      <c r="I17" s="62" t="n">
        <v>200</v>
      </c>
      <c r="J17" s="63" t="str">
        <f aca="false">IF($I17="","n/a",IF($H17=$I17,"ok","MISMATCH"))</f>
        <v>ok</v>
      </c>
      <c r="K17" s="142" t="n">
        <v>150000</v>
      </c>
      <c r="L17" s="91"/>
      <c r="N17" s="38" t="s">
        <v>123</v>
      </c>
    </row>
    <row r="18" customFormat="false" ht="15" hidden="false" customHeight="true" outlineLevel="0" collapsed="false">
      <c r="B18" s="57" t="s">
        <v>1293</v>
      </c>
      <c r="C18" s="152" t="s">
        <v>145</v>
      </c>
      <c r="D18" s="91" t="s">
        <v>1290</v>
      </c>
      <c r="E18" s="106" t="s">
        <v>1291</v>
      </c>
      <c r="F18" s="102" t="s">
        <v>560</v>
      </c>
      <c r="G18" s="60" t="s">
        <v>432</v>
      </c>
      <c r="H18" s="61" t="n">
        <f aca="false">IF($G18="","",IFERROR(LOOKUP(VALUE(LEFT($G18&amp;"",FIND("-",$G18&amp;"-")-1)),$C$36:$C$41,$D$36:$D$41),""))</f>
        <v>200</v>
      </c>
      <c r="I18" s="62" t="n">
        <v>200</v>
      </c>
      <c r="J18" s="63" t="str">
        <f aca="false">IF($I18="","n/a",IF($H18=$I18,"ok","MISMATCH"))</f>
        <v>ok</v>
      </c>
      <c r="K18" s="142" t="n">
        <v>150000</v>
      </c>
      <c r="L18" s="91" t="s">
        <v>1294</v>
      </c>
      <c r="N18" s="38" t="s">
        <v>145</v>
      </c>
    </row>
    <row r="19" customFormat="false" ht="15" hidden="false" customHeight="true" outlineLevel="0" collapsed="false">
      <c r="B19" s="66" t="s">
        <v>1295</v>
      </c>
      <c r="C19" s="68" t="s">
        <v>1295</v>
      </c>
      <c r="D19" s="16" t="s">
        <v>1296</v>
      </c>
      <c r="E19" s="14" t="s">
        <v>1297</v>
      </c>
      <c r="F19" s="102" t="s">
        <v>560</v>
      </c>
      <c r="G19" s="69" t="s">
        <v>506</v>
      </c>
      <c r="H19" s="70" t="n">
        <f aca="false">IF($G19="","",IFERROR(LOOKUP(VALUE(LEFT($G19&amp;"",FIND("-",$G19&amp;"-")-1)),$C$36:$C$41,$D$36:$D$41),""))</f>
        <v>0</v>
      </c>
      <c r="I19" s="71"/>
      <c r="J19" s="72" t="str">
        <f aca="false">IF($I19="","n/a",IF($H19=$I19,"ok","MISMATCH"))</f>
        <v>n/a</v>
      </c>
      <c r="K19" s="144" t="n">
        <v>110000</v>
      </c>
      <c r="L19" s="16"/>
      <c r="N19" s="38" t="s">
        <v>1295</v>
      </c>
    </row>
    <row r="20" customFormat="false" ht="15" hidden="false" customHeight="true" outlineLevel="0" collapsed="false">
      <c r="B20" s="66" t="s">
        <v>1298</v>
      </c>
      <c r="C20" s="154" t="s">
        <v>288</v>
      </c>
      <c r="D20" s="16" t="s">
        <v>1299</v>
      </c>
      <c r="E20" s="14" t="s">
        <v>1300</v>
      </c>
      <c r="F20" s="109" t="s">
        <v>565</v>
      </c>
      <c r="G20" s="69" t="s">
        <v>506</v>
      </c>
      <c r="H20" s="70" t="n">
        <f aca="false">IF($G20="","",IFERROR(LOOKUP(VALUE(LEFT($G20&amp;"",FIND("-",$G20&amp;"-")-1)),$C$36:$C$41,$D$36:$D$41),""))</f>
        <v>0</v>
      </c>
      <c r="I20" s="71"/>
      <c r="J20" s="72" t="str">
        <f aca="false">IF($I20="","n/a",IF($H20=$I20,"ok","MISMATCH"))</f>
        <v>n/a</v>
      </c>
      <c r="K20" s="144" t="n">
        <v>110000</v>
      </c>
      <c r="L20" s="16" t="s">
        <v>1301</v>
      </c>
      <c r="N20" s="38" t="s">
        <v>288</v>
      </c>
    </row>
    <row r="21" customFormat="false" ht="15" hidden="false" customHeight="true" outlineLevel="0" collapsed="false">
      <c r="B21" s="66" t="s">
        <v>275</v>
      </c>
      <c r="C21" s="68" t="s">
        <v>275</v>
      </c>
      <c r="D21" s="16" t="s">
        <v>1302</v>
      </c>
      <c r="E21" s="14" t="s">
        <v>1303</v>
      </c>
      <c r="F21" s="102" t="s">
        <v>560</v>
      </c>
      <c r="G21" s="69" t="s">
        <v>506</v>
      </c>
      <c r="H21" s="70" t="n">
        <f aca="false">IF($G21="","",IFERROR(LOOKUP(VALUE(LEFT($G21&amp;"",FIND("-",$G21&amp;"-")-1)),$C$36:$C$41,$D$36:$D$41),""))</f>
        <v>0</v>
      </c>
      <c r="I21" s="71" t="n">
        <v>0</v>
      </c>
      <c r="J21" s="72" t="str">
        <f aca="false">IF($I21="","n/a",IF($H21=$I21,"ok","MISMATCH"))</f>
        <v>ok</v>
      </c>
      <c r="K21" s="144" t="n">
        <v>110000</v>
      </c>
      <c r="L21" s="16"/>
      <c r="N21" s="38" t="s">
        <v>275</v>
      </c>
    </row>
    <row r="22" customFormat="false" ht="15" hidden="false" customHeight="true" outlineLevel="0" collapsed="false">
      <c r="B22" s="66" t="s">
        <v>308</v>
      </c>
      <c r="C22" s="68" t="s">
        <v>308</v>
      </c>
      <c r="D22" s="16" t="s">
        <v>1296</v>
      </c>
      <c r="E22" s="14" t="s">
        <v>1297</v>
      </c>
      <c r="F22" s="102" t="s">
        <v>560</v>
      </c>
      <c r="G22" s="69" t="s">
        <v>506</v>
      </c>
      <c r="H22" s="70" t="n">
        <f aca="false">IF($G22="","",IFERROR(LOOKUP(VALUE(LEFT($G22&amp;"",FIND("-",$G22&amp;"-")-1)),$C$36:$C$41,$D$36:$D$41),""))</f>
        <v>0</v>
      </c>
      <c r="I22" s="71"/>
      <c r="J22" s="72" t="str">
        <f aca="false">IF($I22="","n/a",IF($H22=$I22,"ok","MISMATCH"))</f>
        <v>n/a</v>
      </c>
      <c r="K22" s="144" t="n">
        <v>110000</v>
      </c>
      <c r="L22" s="16"/>
      <c r="N22" s="38" t="s">
        <v>308</v>
      </c>
    </row>
    <row r="23" customFormat="false" ht="15" hidden="false" customHeight="true" outlineLevel="0" collapsed="false">
      <c r="B23" s="66" t="s">
        <v>1304</v>
      </c>
      <c r="C23" s="154" t="s">
        <v>202</v>
      </c>
      <c r="D23" s="16" t="s">
        <v>1299</v>
      </c>
      <c r="E23" s="14" t="s">
        <v>1300</v>
      </c>
      <c r="F23" s="109" t="s">
        <v>565</v>
      </c>
      <c r="G23" s="69" t="s">
        <v>514</v>
      </c>
      <c r="H23" s="70" t="n">
        <f aca="false">IF($G23="","",IFERROR(LOOKUP(VALUE(LEFT($G23&amp;"",FIND("-",$G23&amp;"-")-1)),$C$36:$C$41,$D$36:$D$41),""))</f>
        <v>0</v>
      </c>
      <c r="I23" s="71" t="n">
        <v>0</v>
      </c>
      <c r="J23" s="72" t="str">
        <f aca="false">IF($I23="","n/a",IF($H23=$I23,"ok","MISMATCH"))</f>
        <v>ok</v>
      </c>
      <c r="K23" s="144" t="n">
        <v>80000</v>
      </c>
      <c r="L23" s="16" t="s">
        <v>1305</v>
      </c>
      <c r="N23" s="38" t="s">
        <v>202</v>
      </c>
    </row>
    <row r="24" customFormat="false" ht="15" hidden="false" customHeight="true" outlineLevel="0" collapsed="false">
      <c r="B24" s="66" t="s">
        <v>147</v>
      </c>
      <c r="C24" s="68" t="s">
        <v>147</v>
      </c>
      <c r="D24" s="16" t="s">
        <v>1296</v>
      </c>
      <c r="E24" s="14" t="s">
        <v>1297</v>
      </c>
      <c r="F24" s="102" t="s">
        <v>560</v>
      </c>
      <c r="G24" s="69" t="s">
        <v>514</v>
      </c>
      <c r="H24" s="70" t="n">
        <f aca="false">IF($G24="","",IFERROR(LOOKUP(VALUE(LEFT($G24&amp;"",FIND("-",$G24&amp;"-")-1)),$C$36:$C$41,$D$36:$D$41),""))</f>
        <v>0</v>
      </c>
      <c r="I24" s="71"/>
      <c r="J24" s="72" t="str">
        <f aca="false">IF($I24="","n/a",IF($H24=$I24,"ok","MISMATCH"))</f>
        <v>n/a</v>
      </c>
      <c r="K24" s="144" t="n">
        <v>80000</v>
      </c>
      <c r="L24" s="16"/>
      <c r="N24" s="38" t="s">
        <v>147</v>
      </c>
    </row>
    <row r="25" customFormat="false" ht="15" hidden="false" customHeight="true" outlineLevel="0" collapsed="false">
      <c r="B25" s="66" t="s">
        <v>1306</v>
      </c>
      <c r="C25" s="154" t="s">
        <v>257</v>
      </c>
      <c r="D25" s="16" t="s">
        <v>1307</v>
      </c>
      <c r="E25" s="14" t="s">
        <v>623</v>
      </c>
      <c r="F25" s="109" t="s">
        <v>565</v>
      </c>
      <c r="G25" s="69" t="s">
        <v>514</v>
      </c>
      <c r="H25" s="70" t="n">
        <f aca="false">IF($G25="","",IFERROR(LOOKUP(VALUE(LEFT($G25&amp;"",FIND("-",$G25&amp;"-")-1)),$C$36:$C$41,$D$36:$D$41),""))</f>
        <v>0</v>
      </c>
      <c r="I25" s="71"/>
      <c r="J25" s="72" t="str">
        <f aca="false">IF($I25="","n/a",IF($H25=$I25,"ok","MISMATCH"))</f>
        <v>n/a</v>
      </c>
      <c r="K25" s="144" t="n">
        <v>80000</v>
      </c>
      <c r="L25" s="16" t="s">
        <v>1308</v>
      </c>
      <c r="N25" s="38" t="s">
        <v>257</v>
      </c>
    </row>
    <row r="26" customFormat="false" ht="15" hidden="false" customHeight="true" outlineLevel="0" collapsed="false">
      <c r="B26" s="66" t="s">
        <v>310</v>
      </c>
      <c r="C26" s="68" t="s">
        <v>310</v>
      </c>
      <c r="D26" s="16" t="s">
        <v>1309</v>
      </c>
      <c r="E26" s="14" t="s">
        <v>1310</v>
      </c>
      <c r="F26" s="102" t="s">
        <v>560</v>
      </c>
      <c r="G26" s="69" t="s">
        <v>514</v>
      </c>
      <c r="H26" s="70" t="n">
        <f aca="false">IF($G26="","",IFERROR(LOOKUP(VALUE(LEFT($G26&amp;"",FIND("-",$G26&amp;"-")-1)),$C$36:$C$41,$D$36:$D$41),""))</f>
        <v>0</v>
      </c>
      <c r="I26" s="71"/>
      <c r="J26" s="72" t="str">
        <f aca="false">IF($I26="","n/a",IF($H26=$I26,"ok","MISMATCH"))</f>
        <v>n/a</v>
      </c>
      <c r="K26" s="144" t="n">
        <v>80000</v>
      </c>
      <c r="L26" s="74" t="s">
        <v>1311</v>
      </c>
      <c r="N26" s="38" t="s">
        <v>310</v>
      </c>
    </row>
    <row r="27" customFormat="false" ht="15" hidden="false" customHeight="true" outlineLevel="0" collapsed="false">
      <c r="B27" s="66" t="s">
        <v>533</v>
      </c>
      <c r="C27" s="68" t="s">
        <v>533</v>
      </c>
      <c r="D27" s="16" t="s">
        <v>1312</v>
      </c>
      <c r="E27" s="14" t="s">
        <v>1313</v>
      </c>
      <c r="F27" s="102" t="s">
        <v>560</v>
      </c>
      <c r="G27" s="69" t="s">
        <v>1087</v>
      </c>
      <c r="H27" s="70" t="n">
        <f aca="false">IF($G27="","",IFERROR(LOOKUP(VALUE(LEFT($G27&amp;"",FIND("-",$G27&amp;"-")-1)),$C$36:$C$41,$D$36:$D$41),""))</f>
        <v>0</v>
      </c>
      <c r="I27" s="71" t="n">
        <v>0</v>
      </c>
      <c r="J27" s="72" t="str">
        <f aca="false">IF($I27="","n/a",IF($H27=$I27,"ok","MISMATCH"))</f>
        <v>ok</v>
      </c>
      <c r="K27" s="144" t="n">
        <v>60000</v>
      </c>
      <c r="L27" s="16"/>
      <c r="N27" s="38" t="s">
        <v>533</v>
      </c>
    </row>
    <row r="28" customFormat="false" ht="15" hidden="false" customHeight="true" outlineLevel="0" collapsed="false">
      <c r="B28" s="66" t="s">
        <v>255</v>
      </c>
      <c r="C28" s="68" t="s">
        <v>255</v>
      </c>
      <c r="D28" s="16" t="s">
        <v>1292</v>
      </c>
      <c r="E28" s="14" t="s">
        <v>596</v>
      </c>
      <c r="F28" s="109" t="s">
        <v>565</v>
      </c>
      <c r="G28" s="69" t="s">
        <v>1087</v>
      </c>
      <c r="H28" s="70" t="n">
        <f aca="false">IF($G28="","",IFERROR(LOOKUP(VALUE(LEFT($G28&amp;"",FIND("-",$G28&amp;"-")-1)),$C$36:$C$41,$D$36:$D$41),""))</f>
        <v>0</v>
      </c>
      <c r="I28" s="71" t="n">
        <v>0</v>
      </c>
      <c r="J28" s="72" t="str">
        <f aca="false">IF($I28="","n/a",IF($H28=$I28,"ok","MISMATCH"))</f>
        <v>ok</v>
      </c>
      <c r="K28" s="144" t="n">
        <v>60000</v>
      </c>
      <c r="L28" s="16"/>
      <c r="N28" s="38" t="s">
        <v>255</v>
      </c>
    </row>
    <row r="29" customFormat="false" ht="15" hidden="false" customHeight="true" outlineLevel="0" collapsed="false">
      <c r="B29" s="66" t="s">
        <v>131</v>
      </c>
      <c r="C29" s="68" t="s">
        <v>131</v>
      </c>
      <c r="D29" s="16" t="s">
        <v>1307</v>
      </c>
      <c r="E29" s="14" t="s">
        <v>623</v>
      </c>
      <c r="F29" s="109" t="s">
        <v>565</v>
      </c>
      <c r="G29" s="69" t="s">
        <v>529</v>
      </c>
      <c r="H29" s="70" t="n">
        <f aca="false">IF($G29="","",IFERROR(LOOKUP(VALUE(LEFT($G29&amp;"",FIND("-",$G29&amp;"-")-1)),$C$36:$C$41,$D$36:$D$41),""))</f>
        <v>0</v>
      </c>
      <c r="I29" s="71" t="n">
        <v>0</v>
      </c>
      <c r="J29" s="72" t="str">
        <f aca="false">IF($I29="","n/a",IF($H29=$I29,"ok","MISMATCH"))</f>
        <v>ok</v>
      </c>
      <c r="K29" s="144" t="n">
        <v>40000</v>
      </c>
      <c r="L29" s="16"/>
      <c r="N29" s="38" t="s">
        <v>131</v>
      </c>
    </row>
    <row r="30" customFormat="false" ht="15" hidden="false" customHeight="true" outlineLevel="0" collapsed="false">
      <c r="B30" s="66" t="s">
        <v>1314</v>
      </c>
      <c r="C30" s="154" t="s">
        <v>328</v>
      </c>
      <c r="D30" s="16" t="s">
        <v>1290</v>
      </c>
      <c r="E30" s="14" t="s">
        <v>1291</v>
      </c>
      <c r="F30" s="102" t="s">
        <v>560</v>
      </c>
      <c r="G30" s="69" t="s">
        <v>529</v>
      </c>
      <c r="H30" s="70" t="n">
        <f aca="false">IF($G30="","",IFERROR(LOOKUP(VALUE(LEFT($G30&amp;"",FIND("-",$G30&amp;"-")-1)),$C$36:$C$41,$D$36:$D$41),""))</f>
        <v>0</v>
      </c>
      <c r="I30" s="71"/>
      <c r="J30" s="72" t="str">
        <f aca="false">IF($I30="","n/a",IF($H30=$I30,"ok","MISMATCH"))</f>
        <v>n/a</v>
      </c>
      <c r="K30" s="144" t="n">
        <v>40000</v>
      </c>
      <c r="L30" s="16" t="s">
        <v>1315</v>
      </c>
      <c r="N30" s="38" t="s">
        <v>328</v>
      </c>
    </row>
    <row r="32" customFormat="false" ht="15" hidden="false" customHeight="true" outlineLevel="0" collapsed="false">
      <c r="B32" s="11" t="s">
        <v>459</v>
      </c>
      <c r="H32" s="77" t="n">
        <f aca="false">SUM(H11:H30)</f>
        <v>3350</v>
      </c>
    </row>
    <row r="33" customFormat="false" ht="15" hidden="false" customHeight="true" outlineLevel="0" collapsed="false">
      <c r="B33" s="18" t="s">
        <v>1316</v>
      </c>
    </row>
    <row r="34" customFormat="false" ht="15" hidden="false" customHeight="true" outlineLevel="0" collapsed="false">
      <c r="B34" s="11" t="s">
        <v>461</v>
      </c>
    </row>
    <row r="35" customFormat="false" ht="15" hidden="false" customHeight="true" outlineLevel="0" collapsed="false">
      <c r="B35" s="4" t="s">
        <v>463</v>
      </c>
      <c r="C35" s="4" t="s">
        <v>464</v>
      </c>
      <c r="D35" s="4" t="s">
        <v>465</v>
      </c>
    </row>
    <row r="36" customFormat="false" ht="15" hidden="false" customHeight="true" outlineLevel="0" collapsed="false">
      <c r="C36" s="13" t="n">
        <v>1</v>
      </c>
      <c r="D36" s="79" t="n">
        <v>1000</v>
      </c>
      <c r="E36" s="80" t="s">
        <v>466</v>
      </c>
    </row>
    <row r="37" customFormat="false" ht="15" hidden="false" customHeight="true" outlineLevel="0" collapsed="false">
      <c r="C37" s="13" t="n">
        <v>2</v>
      </c>
      <c r="D37" s="79" t="n">
        <v>750</v>
      </c>
      <c r="E37" s="80" t="s">
        <v>467</v>
      </c>
    </row>
    <row r="38" customFormat="false" ht="15" hidden="false" customHeight="true" outlineLevel="0" collapsed="false">
      <c r="C38" s="13" t="n">
        <v>3</v>
      </c>
      <c r="D38" s="79" t="n">
        <v>500</v>
      </c>
      <c r="E38" s="80" t="s">
        <v>468</v>
      </c>
    </row>
    <row r="39" customFormat="false" ht="15" hidden="false" customHeight="true" outlineLevel="0" collapsed="false">
      <c r="C39" s="13" t="n">
        <v>4</v>
      </c>
      <c r="D39" s="79" t="n">
        <v>300</v>
      </c>
      <c r="E39" s="80" t="s">
        <v>469</v>
      </c>
    </row>
    <row r="40" customFormat="false" ht="15" hidden="false" customHeight="true" outlineLevel="0" collapsed="false">
      <c r="C40" s="13" t="n">
        <v>5</v>
      </c>
      <c r="D40" s="79" t="n">
        <v>200</v>
      </c>
      <c r="E40" s="80" t="s">
        <v>537</v>
      </c>
    </row>
    <row r="41" customFormat="false" ht="15" hidden="false" customHeight="true" outlineLevel="0" collapsed="false">
      <c r="C41" s="13" t="n">
        <v>9</v>
      </c>
      <c r="D41" s="79" t="n">
        <v>0</v>
      </c>
      <c r="E41" s="80" t="s">
        <v>1317</v>
      </c>
    </row>
    <row r="44" customFormat="false" ht="15" hidden="false" customHeight="true" outlineLevel="0" collapsed="false">
      <c r="B44" s="11" t="s">
        <v>1229</v>
      </c>
    </row>
    <row r="45" customFormat="false" ht="15" hidden="false" customHeight="true" outlineLevel="0" collapsed="false">
      <c r="B45" s="3" t="s">
        <v>1318</v>
      </c>
      <c r="C45" s="3"/>
      <c r="D45" s="3"/>
      <c r="E45" s="3"/>
      <c r="F45" s="3"/>
      <c r="G45" s="3"/>
      <c r="H45" s="3"/>
      <c r="I45" s="3"/>
      <c r="J45" s="3"/>
      <c r="K45" s="3"/>
      <c r="L45" s="3"/>
    </row>
    <row r="46" customFormat="false" ht="15" hidden="false" customHeight="true" outlineLevel="0" collapsed="false">
      <c r="B46" s="3"/>
      <c r="C46" s="3"/>
      <c r="D46" s="3"/>
      <c r="E46" s="3"/>
      <c r="F46" s="3"/>
      <c r="G46" s="3"/>
      <c r="H46" s="3"/>
      <c r="I46" s="3"/>
      <c r="J46" s="3"/>
      <c r="K46" s="3"/>
      <c r="L46" s="3"/>
    </row>
    <row r="47" customFormat="false" ht="15" hidden="false" customHeight="true" outlineLevel="0" collapsed="false">
      <c r="B47" s="3"/>
      <c r="C47" s="3"/>
      <c r="D47" s="3"/>
      <c r="E47" s="3"/>
      <c r="F47" s="3"/>
      <c r="G47" s="3"/>
      <c r="H47" s="3"/>
      <c r="I47" s="3"/>
      <c r="J47" s="3"/>
      <c r="K47" s="3"/>
      <c r="L47" s="3"/>
    </row>
    <row r="48" customFormat="false" ht="15" hidden="false" customHeight="true" outlineLevel="0" collapsed="false">
      <c r="B48" s="3"/>
      <c r="C48" s="3"/>
      <c r="D48" s="3"/>
      <c r="E48" s="3"/>
      <c r="F48" s="3"/>
      <c r="G48" s="3"/>
      <c r="H48" s="3"/>
      <c r="I48" s="3"/>
      <c r="J48" s="3"/>
      <c r="K48" s="3"/>
      <c r="L48" s="3"/>
    </row>
    <row r="49" customFormat="false" ht="15" hidden="false" customHeight="true" outlineLevel="0" collapsed="false">
      <c r="B49" s="3"/>
      <c r="C49" s="3"/>
      <c r="D49" s="3"/>
      <c r="E49" s="3"/>
      <c r="F49" s="3"/>
      <c r="G49" s="3"/>
      <c r="H49" s="3"/>
      <c r="I49" s="3"/>
      <c r="J49" s="3"/>
      <c r="K49" s="3"/>
      <c r="L49" s="3"/>
    </row>
    <row r="50" customFormat="false" ht="15" hidden="false" customHeight="true" outlineLevel="0" collapsed="false">
      <c r="B50" s="3"/>
      <c r="C50" s="3"/>
      <c r="D50" s="3"/>
      <c r="E50" s="3"/>
      <c r="F50" s="3"/>
      <c r="G50" s="3"/>
      <c r="H50" s="3"/>
      <c r="I50" s="3"/>
      <c r="J50" s="3"/>
      <c r="K50" s="3"/>
      <c r="L50" s="3"/>
    </row>
    <row r="51" customFormat="false" ht="15" hidden="false" customHeight="true" outlineLevel="0" collapsed="false">
      <c r="B51" s="3"/>
      <c r="C51" s="3"/>
      <c r="D51" s="3"/>
      <c r="E51" s="3"/>
      <c r="F51" s="3"/>
      <c r="G51" s="3"/>
      <c r="H51" s="3"/>
      <c r="I51" s="3"/>
      <c r="J51" s="3"/>
      <c r="K51" s="3"/>
      <c r="L51" s="3"/>
    </row>
    <row r="53" customFormat="false" ht="15" hidden="false" customHeight="true" outlineLevel="0" collapsed="false">
      <c r="B53" s="4" t="s">
        <v>556</v>
      </c>
      <c r="C53" s="4" t="s">
        <v>573</v>
      </c>
      <c r="D53" s="4" t="s">
        <v>1059</v>
      </c>
      <c r="E53" s="4" t="s">
        <v>1060</v>
      </c>
      <c r="F53" s="4" t="s">
        <v>760</v>
      </c>
      <c r="G53" s="4" t="s">
        <v>761</v>
      </c>
    </row>
    <row r="54" customFormat="false" ht="15" hidden="false" customHeight="true" outlineLevel="0" collapsed="false">
      <c r="B54" s="110" t="s">
        <v>558</v>
      </c>
      <c r="C54" s="13" t="n">
        <f aca="false">COUNTIF($F$11:$F$30,$B54)</f>
        <v>4</v>
      </c>
      <c r="D54" s="13" t="n">
        <f aca="false">SUMPRODUCT(($F$11:$F$30=$B54)*($H$11:$H$30&gt;0))</f>
        <v>4</v>
      </c>
      <c r="E54" s="149" t="n">
        <f aca="false">IF(C54=0,"",D54/C54)</f>
        <v>1</v>
      </c>
      <c r="F54" s="13" t="n">
        <f aca="false">1</f>
        <v>1</v>
      </c>
      <c r="G54" s="13" t="n">
        <f aca="false">F54+C54-1</f>
        <v>4</v>
      </c>
    </row>
    <row r="55" customFormat="false" ht="15" hidden="false" customHeight="true" outlineLevel="0" collapsed="false">
      <c r="B55" s="113" t="s">
        <v>560</v>
      </c>
      <c r="C55" s="13" t="n">
        <f aca="false">COUNTIF($F$11:$F$30,$B55)</f>
        <v>10</v>
      </c>
      <c r="D55" s="13" t="n">
        <f aca="false">SUMPRODUCT(($F$11:$F$30=$B55)*($H$11:$H$30&gt;0))</f>
        <v>3</v>
      </c>
      <c r="E55" s="149" t="n">
        <f aca="false">IF(C55=0,"",D55/C55)</f>
        <v>0.3</v>
      </c>
      <c r="F55" s="13" t="n">
        <f aca="false">G54+1</f>
        <v>5</v>
      </c>
      <c r="G55" s="13" t="n">
        <f aca="false">F55+C55-1</f>
        <v>14</v>
      </c>
    </row>
    <row r="56" customFormat="false" ht="15" hidden="false" customHeight="true" outlineLevel="0" collapsed="false">
      <c r="B56" s="114" t="s">
        <v>565</v>
      </c>
      <c r="C56" s="13" t="n">
        <f aca="false">COUNTIF($F$11:$F$30,$B56)</f>
        <v>6</v>
      </c>
      <c r="D56" s="13" t="n">
        <f aca="false">SUMPRODUCT(($F$11:$F$30=$B56)*($H$11:$H$30&gt;0))</f>
        <v>1</v>
      </c>
      <c r="E56" s="149" t="n">
        <f aca="false">IF(C56=0,"",D56/C56)</f>
        <v>0.166666666666667</v>
      </c>
      <c r="F56" s="13" t="n">
        <f aca="false">G55+1</f>
        <v>15</v>
      </c>
      <c r="G56" s="13" t="n">
        <f aca="false">F56+C56-1</f>
        <v>20</v>
      </c>
    </row>
    <row r="58" customFormat="false" ht="15" hidden="false" customHeight="true" outlineLevel="0" collapsed="false">
      <c r="B58" s="18" t="s">
        <v>1319</v>
      </c>
    </row>
  </sheetData>
  <sheetProtection sheet="true" formatCells="false" selectLockedCells="true" selectUnlockedCells="true"/>
  <mergeCells count="1">
    <mergeCell ref="B45:L51"/>
  </mergeCells>
  <dataValidations count="2">
    <dataValidation allowBlank="true" error="Pick a placement from the list." errorStyle="stop" errorTitle="Use the dropdown" operator="between" showDropDown="false" showErrorMessage="false" showInputMessage="false" sqref="G11:G30" type="list">
      <formula1>"1,2,3,4,5-8,9-12,13-16,17-18,19-20"</formula1>
      <formula2>0</formula2>
    </dataValidation>
    <dataValidation allowBlank="true" errorStyle="stop" operator="between" showDropDown="false" showErrorMessage="false" showInputMessage="false" sqref="F11:F30"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34"/>
    <col collapsed="false" customWidth="true" hidden="false" outlineLevel="0" max="4" min="4" style="1" width="10"/>
    <col collapsed="false" customWidth="true" hidden="false" outlineLevel="0" max="5" min="5" style="1" width="11"/>
    <col collapsed="false" customWidth="true" hidden="false" outlineLevel="0" max="6" min="6" style="1" width="12"/>
    <col collapsed="false" customWidth="true" hidden="false" outlineLevel="0" max="7" min="7" style="1" width="15"/>
    <col collapsed="false" customWidth="true" hidden="false" outlineLevel="0" max="8" min="8" style="1" width="10"/>
    <col collapsed="false" customWidth="true" hidden="false" outlineLevel="0" max="9" min="9" style="1" width="12"/>
    <col collapsed="false" customWidth="true" hidden="false" outlineLevel="0" max="10" min="10" style="1" width="32"/>
  </cols>
  <sheetData>
    <row r="2" customFormat="false" ht="18" hidden="false" customHeight="true" outlineLevel="0" collapsed="false">
      <c r="B2" s="2" t="s">
        <v>1320</v>
      </c>
    </row>
    <row r="3" customFormat="false" ht="15" hidden="false" customHeight="true" outlineLevel="0" collapsed="false">
      <c r="B3" s="18" t="s">
        <v>1321</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1322</v>
      </c>
      <c r="D6" s="28" t="s">
        <v>549</v>
      </c>
      <c r="F6" s="28" t="s">
        <v>1323</v>
      </c>
      <c r="H6" s="28" t="s">
        <v>1324</v>
      </c>
      <c r="J6" s="28" t="s">
        <v>1325</v>
      </c>
      <c r="L6" s="28" t="s">
        <v>553</v>
      </c>
    </row>
    <row r="8" customFormat="false" ht="15" hidden="false" customHeight="true" outlineLevel="0" collapsed="false">
      <c r="B8" s="11" t="s">
        <v>416</v>
      </c>
    </row>
    <row r="9" customFormat="false" ht="15" hidden="false" customHeight="true" outlineLevel="0" collapsed="false">
      <c r="B9" s="18" t="s">
        <v>1326</v>
      </c>
    </row>
    <row r="10" customFormat="false" ht="34.5" hidden="false" customHeight="true" outlineLevel="0" collapsed="false">
      <c r="B10" s="4" t="s">
        <v>418</v>
      </c>
      <c r="C10" s="4" t="s">
        <v>1327</v>
      </c>
      <c r="D10" s="4" t="s">
        <v>556</v>
      </c>
      <c r="E10" s="4" t="s">
        <v>421</v>
      </c>
      <c r="F10" s="4" t="s">
        <v>422</v>
      </c>
      <c r="G10" s="4" t="s">
        <v>423</v>
      </c>
      <c r="H10" s="4" t="s">
        <v>424</v>
      </c>
      <c r="I10" s="4" t="s">
        <v>425</v>
      </c>
      <c r="J10" s="4" t="s">
        <v>41</v>
      </c>
      <c r="L10" s="4" t="s">
        <v>426</v>
      </c>
    </row>
    <row r="11" customFormat="false" ht="15" hidden="false" customHeight="true" outlineLevel="0" collapsed="false">
      <c r="B11" s="29" t="s">
        <v>1328</v>
      </c>
      <c r="C11" s="85" t="s">
        <v>1329</v>
      </c>
      <c r="D11" s="99" t="s">
        <v>558</v>
      </c>
      <c r="E11" s="32" t="s">
        <v>427</v>
      </c>
      <c r="F11" s="33" t="n">
        <f aca="false">IF($E11="","",IFERROR(LOOKUP(VALUE(LEFT($E11&amp;"",FIND("-",$E11&amp;"-")-1)),$C$32:$C$37,$D$32:$D$37),""))</f>
        <v>1000</v>
      </c>
      <c r="G11" s="34"/>
      <c r="H11" s="35" t="str">
        <f aca="false">IF($G11="","n/a",IF($F11=$G11,"ok","MISMATCH"))</f>
        <v>n/a</v>
      </c>
      <c r="I11" s="137" t="n">
        <v>750000</v>
      </c>
      <c r="J11" s="85"/>
      <c r="L11" s="38" t="s">
        <v>1328</v>
      </c>
    </row>
    <row r="12" customFormat="false" ht="15" hidden="false" customHeight="true" outlineLevel="0" collapsed="false">
      <c r="B12" s="39" t="s">
        <v>141</v>
      </c>
      <c r="C12" s="87" t="s">
        <v>1330</v>
      </c>
      <c r="D12" s="102" t="s">
        <v>560</v>
      </c>
      <c r="E12" s="42" t="s">
        <v>428</v>
      </c>
      <c r="F12" s="43" t="n">
        <f aca="false">IF($E12="","",IFERROR(LOOKUP(VALUE(LEFT($E12&amp;"",FIND("-",$E12&amp;"-")-1)),$C$32:$C$37,$D$32:$D$37),""))</f>
        <v>750</v>
      </c>
      <c r="G12" s="44" t="n">
        <v>750</v>
      </c>
      <c r="H12" s="45" t="str">
        <f aca="false">IF($G12="","n/a",IF($F12=$G12,"ok","MISMATCH"))</f>
        <v>ok</v>
      </c>
      <c r="I12" s="139" t="n">
        <v>350000</v>
      </c>
      <c r="J12" s="87"/>
      <c r="L12" s="38" t="s">
        <v>141</v>
      </c>
    </row>
    <row r="13" customFormat="false" ht="15" hidden="false" customHeight="true" outlineLevel="0" collapsed="false">
      <c r="B13" s="48" t="s">
        <v>370</v>
      </c>
      <c r="C13" s="89" t="s">
        <v>1331</v>
      </c>
      <c r="D13" s="99" t="s">
        <v>558</v>
      </c>
      <c r="E13" s="51" t="s">
        <v>430</v>
      </c>
      <c r="F13" s="52" t="n">
        <f aca="false">IF($E13="","",IFERROR(LOOKUP(VALUE(LEFT($E13&amp;"",FIND("-",$E13&amp;"-")-1)),$C$32:$C$37,$D$32:$D$37),""))</f>
        <v>500</v>
      </c>
      <c r="G13" s="53" t="n">
        <v>500</v>
      </c>
      <c r="H13" s="54" t="str">
        <f aca="false">IF($G13="","n/a",IF($F13=$G13,"ok","MISMATCH"))</f>
        <v>ok</v>
      </c>
      <c r="I13" s="140" t="n">
        <v>210000</v>
      </c>
      <c r="J13" s="89"/>
      <c r="L13" s="38" t="s">
        <v>370</v>
      </c>
    </row>
    <row r="14" customFormat="false" ht="15" hidden="false" customHeight="true" outlineLevel="0" collapsed="false">
      <c r="B14" s="57" t="s">
        <v>511</v>
      </c>
      <c r="C14" s="91" t="s">
        <v>1332</v>
      </c>
      <c r="D14" s="99" t="s">
        <v>558</v>
      </c>
      <c r="E14" s="60" t="s">
        <v>431</v>
      </c>
      <c r="F14" s="61" t="n">
        <f aca="false">IF($E14="","",IFERROR(LOOKUP(VALUE(LEFT($E14&amp;"",FIND("-",$E14&amp;"-")-1)),$C$32:$C$37,$D$32:$D$37),""))</f>
        <v>300</v>
      </c>
      <c r="G14" s="62" t="n">
        <v>300</v>
      </c>
      <c r="H14" s="63" t="str">
        <f aca="false">IF($G14="","n/a",IF($F14=$G14,"ok","MISMATCH"))</f>
        <v>ok</v>
      </c>
      <c r="I14" s="142" t="n">
        <v>130000</v>
      </c>
      <c r="J14" s="91"/>
      <c r="L14" s="38" t="s">
        <v>511</v>
      </c>
    </row>
    <row r="15" customFormat="false" ht="15" hidden="false" customHeight="true" outlineLevel="0" collapsed="false">
      <c r="B15" s="57" t="s">
        <v>165</v>
      </c>
      <c r="C15" s="91" t="s">
        <v>1333</v>
      </c>
      <c r="D15" s="102" t="s">
        <v>560</v>
      </c>
      <c r="E15" s="60" t="s">
        <v>432</v>
      </c>
      <c r="F15" s="61" t="n">
        <f aca="false">IF($E15="","",IFERROR(LOOKUP(VALUE(LEFT($E15&amp;"",FIND("-",$E15&amp;"-")-1)),$C$32:$C$37,$D$32:$D$37),""))</f>
        <v>200</v>
      </c>
      <c r="G15" s="62" t="n">
        <v>200</v>
      </c>
      <c r="H15" s="63" t="str">
        <f aca="false">IF($G15="","n/a",IF($F15=$G15,"ok","MISMATCH"))</f>
        <v>ok</v>
      </c>
      <c r="I15" s="142" t="n">
        <v>75000</v>
      </c>
      <c r="J15" s="91"/>
      <c r="L15" s="38" t="s">
        <v>165</v>
      </c>
    </row>
    <row r="16" customFormat="false" ht="15" hidden="false" customHeight="true" outlineLevel="0" collapsed="false">
      <c r="B16" s="57" t="s">
        <v>204</v>
      </c>
      <c r="C16" s="91" t="s">
        <v>1334</v>
      </c>
      <c r="D16" s="99" t="s">
        <v>558</v>
      </c>
      <c r="E16" s="60" t="s">
        <v>432</v>
      </c>
      <c r="F16" s="61" t="n">
        <f aca="false">IF($E16="","",IFERROR(LOOKUP(VALUE(LEFT($E16&amp;"",FIND("-",$E16&amp;"-")-1)),$C$32:$C$37,$D$32:$D$37),""))</f>
        <v>200</v>
      </c>
      <c r="G16" s="62" t="n">
        <v>200</v>
      </c>
      <c r="H16" s="63" t="str">
        <f aca="false">IF($G16="","n/a",IF($F16=$G16,"ok","MISMATCH"))</f>
        <v>ok</v>
      </c>
      <c r="I16" s="142" t="n">
        <v>75000</v>
      </c>
      <c r="J16" s="91"/>
      <c r="L16" s="38" t="s">
        <v>204</v>
      </c>
    </row>
    <row r="17" customFormat="false" ht="15" hidden="false" customHeight="true" outlineLevel="0" collapsed="false">
      <c r="B17" s="57" t="s">
        <v>119</v>
      </c>
      <c r="C17" s="91" t="s">
        <v>1335</v>
      </c>
      <c r="D17" s="109" t="s">
        <v>565</v>
      </c>
      <c r="E17" s="60" t="s">
        <v>432</v>
      </c>
      <c r="F17" s="61" t="n">
        <f aca="false">IF($E17="","",IFERROR(LOOKUP(VALUE(LEFT($E17&amp;"",FIND("-",$E17&amp;"-")-1)),$C$32:$C$37,$D$32:$D$37),""))</f>
        <v>200</v>
      </c>
      <c r="G17" s="62" t="n">
        <v>200</v>
      </c>
      <c r="H17" s="63" t="str">
        <f aca="false">IF($G17="","n/a",IF($F17=$G17,"ok","MISMATCH"))</f>
        <v>ok</v>
      </c>
      <c r="I17" s="142" t="n">
        <v>75000</v>
      </c>
      <c r="J17" s="91"/>
      <c r="L17" s="38" t="s">
        <v>119</v>
      </c>
    </row>
    <row r="18" customFormat="false" ht="15" hidden="false" customHeight="true" outlineLevel="0" collapsed="false">
      <c r="B18" s="57" t="s">
        <v>127</v>
      </c>
      <c r="C18" s="91" t="s">
        <v>1336</v>
      </c>
      <c r="D18" s="99" t="s">
        <v>558</v>
      </c>
      <c r="E18" s="60" t="s">
        <v>432</v>
      </c>
      <c r="F18" s="61" t="n">
        <f aca="false">IF($E18="","",IFERROR(LOOKUP(VALUE(LEFT($E18&amp;"",FIND("-",$E18&amp;"-")-1)),$C$32:$C$37,$D$32:$D$37),""))</f>
        <v>200</v>
      </c>
      <c r="G18" s="62" t="n">
        <v>200</v>
      </c>
      <c r="H18" s="63" t="str">
        <f aca="false">IF($G18="","n/a",IF($F18=$G18,"ok","MISMATCH"))</f>
        <v>ok</v>
      </c>
      <c r="I18" s="142" t="n">
        <v>75000</v>
      </c>
      <c r="J18" s="91" t="s">
        <v>1337</v>
      </c>
      <c r="L18" s="38" t="s">
        <v>127</v>
      </c>
    </row>
    <row r="19" customFormat="false" ht="15" hidden="false" customHeight="true" outlineLevel="0" collapsed="false">
      <c r="B19" s="66" t="s">
        <v>163</v>
      </c>
      <c r="C19" s="16" t="s">
        <v>1338</v>
      </c>
      <c r="D19" s="109" t="s">
        <v>565</v>
      </c>
      <c r="E19" s="69" t="s">
        <v>506</v>
      </c>
      <c r="F19" s="70" t="n">
        <f aca="false">IF($E19="","",IFERROR(LOOKUP(VALUE(LEFT($E19&amp;"",FIND("-",$E19&amp;"-")-1)),$C$32:$C$37,$D$32:$D$37),""))</f>
        <v>0</v>
      </c>
      <c r="G19" s="71" t="n">
        <v>0</v>
      </c>
      <c r="H19" s="72" t="str">
        <f aca="false">IF($G19="","n/a",IF($F19=$G19,"ok","MISMATCH"))</f>
        <v>ok</v>
      </c>
      <c r="I19" s="144" t="n">
        <v>40000</v>
      </c>
      <c r="J19" s="16"/>
      <c r="L19" s="38" t="s">
        <v>163</v>
      </c>
    </row>
    <row r="20" customFormat="false" ht="15" hidden="false" customHeight="true" outlineLevel="0" collapsed="false">
      <c r="B20" s="66" t="s">
        <v>1339</v>
      </c>
      <c r="C20" s="16" t="s">
        <v>1340</v>
      </c>
      <c r="D20" s="99" t="s">
        <v>558</v>
      </c>
      <c r="E20" s="69" t="s">
        <v>506</v>
      </c>
      <c r="F20" s="70" t="n">
        <f aca="false">IF($E20="","",IFERROR(LOOKUP(VALUE(LEFT($E20&amp;"",FIND("-",$E20&amp;"-")-1)),$C$32:$C$37,$D$32:$D$37),""))</f>
        <v>0</v>
      </c>
      <c r="G20" s="71"/>
      <c r="H20" s="72" t="str">
        <f aca="false">IF($G20="","n/a",IF($F20=$G20,"ok","MISMATCH"))</f>
        <v>n/a</v>
      </c>
      <c r="I20" s="144" t="n">
        <v>40000</v>
      </c>
      <c r="J20" s="16"/>
      <c r="L20" s="38" t="s">
        <v>1339</v>
      </c>
    </row>
    <row r="21" customFormat="false" ht="15" hidden="false" customHeight="true" outlineLevel="0" collapsed="false">
      <c r="B21" s="66" t="s">
        <v>169</v>
      </c>
      <c r="C21" s="16" t="s">
        <v>1338</v>
      </c>
      <c r="D21" s="109" t="s">
        <v>565</v>
      </c>
      <c r="E21" s="69" t="s">
        <v>506</v>
      </c>
      <c r="F21" s="70" t="n">
        <f aca="false">IF($E21="","",IFERROR(LOOKUP(VALUE(LEFT($E21&amp;"",FIND("-",$E21&amp;"-")-1)),$C$32:$C$37,$D$32:$D$37),""))</f>
        <v>0</v>
      </c>
      <c r="G21" s="71" t="n">
        <v>0</v>
      </c>
      <c r="H21" s="72" t="str">
        <f aca="false">IF($G21="","n/a",IF($F21=$G21,"ok","MISMATCH"))</f>
        <v>ok</v>
      </c>
      <c r="I21" s="144" t="n">
        <v>40000</v>
      </c>
      <c r="J21" s="16"/>
      <c r="L21" s="38" t="s">
        <v>169</v>
      </c>
    </row>
    <row r="22" customFormat="false" ht="15" hidden="false" customHeight="true" outlineLevel="0" collapsed="false">
      <c r="B22" s="66" t="s">
        <v>114</v>
      </c>
      <c r="C22" s="16" t="s">
        <v>1338</v>
      </c>
      <c r="D22" s="109" t="s">
        <v>565</v>
      </c>
      <c r="E22" s="69" t="s">
        <v>506</v>
      </c>
      <c r="F22" s="70" t="n">
        <f aca="false">IF($E22="","",IFERROR(LOOKUP(VALUE(LEFT($E22&amp;"",FIND("-",$E22&amp;"-")-1)),$C$32:$C$37,$D$32:$D$37),""))</f>
        <v>0</v>
      </c>
      <c r="G22" s="71" t="n">
        <v>0</v>
      </c>
      <c r="H22" s="72" t="str">
        <f aca="false">IF($G22="","n/a",IF($F22=$G22,"ok","MISMATCH"))</f>
        <v>ok</v>
      </c>
      <c r="I22" s="144" t="n">
        <v>40000</v>
      </c>
      <c r="J22" s="16"/>
      <c r="L22" s="38" t="s">
        <v>114</v>
      </c>
    </row>
    <row r="23" customFormat="false" ht="15" hidden="false" customHeight="true" outlineLevel="0" collapsed="false">
      <c r="B23" s="66" t="s">
        <v>356</v>
      </c>
      <c r="C23" s="16" t="s">
        <v>1341</v>
      </c>
      <c r="D23" s="102" t="s">
        <v>560</v>
      </c>
      <c r="E23" s="69" t="s">
        <v>514</v>
      </c>
      <c r="F23" s="70" t="n">
        <f aca="false">IF($E23="","",IFERROR(LOOKUP(VALUE(LEFT($E23&amp;"",FIND("-",$E23&amp;"-")-1)),$C$32:$C$37,$D$32:$D$37),""))</f>
        <v>0</v>
      </c>
      <c r="G23" s="71"/>
      <c r="H23" s="72" t="str">
        <f aca="false">IF($G23="","n/a",IF($F23=$G23,"ok","MISMATCH"))</f>
        <v>n/a</v>
      </c>
      <c r="I23" s="144" t="n">
        <v>25000</v>
      </c>
      <c r="J23" s="16"/>
      <c r="L23" s="38" t="s">
        <v>356</v>
      </c>
    </row>
    <row r="24" customFormat="false" ht="15" hidden="false" customHeight="true" outlineLevel="0" collapsed="false">
      <c r="B24" s="66" t="s">
        <v>384</v>
      </c>
      <c r="C24" s="16" t="s">
        <v>1342</v>
      </c>
      <c r="D24" s="99" t="s">
        <v>558</v>
      </c>
      <c r="E24" s="69" t="s">
        <v>514</v>
      </c>
      <c r="F24" s="70" t="n">
        <f aca="false">IF($E24="","",IFERROR(LOOKUP(VALUE(LEFT($E24&amp;"",FIND("-",$E24&amp;"-")-1)),$C$32:$C$37,$D$32:$D$37),""))</f>
        <v>0</v>
      </c>
      <c r="G24" s="71"/>
      <c r="H24" s="72" t="str">
        <f aca="false">IF($G24="","n/a",IF($F24=$G24,"ok","MISMATCH"))</f>
        <v>n/a</v>
      </c>
      <c r="I24" s="144" t="n">
        <v>25000</v>
      </c>
      <c r="J24" s="16"/>
      <c r="L24" s="38" t="s">
        <v>384</v>
      </c>
    </row>
    <row r="25" customFormat="false" ht="15" hidden="false" customHeight="true" outlineLevel="0" collapsed="false">
      <c r="B25" s="66" t="s">
        <v>344</v>
      </c>
      <c r="C25" s="16" t="s">
        <v>1343</v>
      </c>
      <c r="D25" s="109" t="s">
        <v>565</v>
      </c>
      <c r="E25" s="69" t="s">
        <v>514</v>
      </c>
      <c r="F25" s="70" t="n">
        <f aca="false">IF($E25="","",IFERROR(LOOKUP(VALUE(LEFT($E25&amp;"",FIND("-",$E25&amp;"-")-1)),$C$32:$C$37,$D$32:$D$37),""))</f>
        <v>0</v>
      </c>
      <c r="G25" s="71"/>
      <c r="H25" s="72" t="str">
        <f aca="false">IF($G25="","n/a",IF($F25=$G25,"ok","MISMATCH"))</f>
        <v>n/a</v>
      </c>
      <c r="I25" s="144" t="n">
        <v>25000</v>
      </c>
      <c r="J25" s="16"/>
      <c r="L25" s="38" t="s">
        <v>344</v>
      </c>
    </row>
    <row r="26" customFormat="false" ht="15" hidden="false" customHeight="true" outlineLevel="0" collapsed="false">
      <c r="B26" s="66" t="s">
        <v>145</v>
      </c>
      <c r="C26" s="16" t="s">
        <v>1344</v>
      </c>
      <c r="D26" s="109" t="s">
        <v>565</v>
      </c>
      <c r="E26" s="69" t="s">
        <v>514</v>
      </c>
      <c r="F26" s="70" t="n">
        <f aca="false">IF($E26="","",IFERROR(LOOKUP(VALUE(LEFT($E26&amp;"",FIND("-",$E26&amp;"-")-1)),$C$32:$C$37,$D$32:$D$37),""))</f>
        <v>0</v>
      </c>
      <c r="G26" s="71" t="n">
        <v>0</v>
      </c>
      <c r="H26" s="72" t="str">
        <f aca="false">IF($G26="","n/a",IF($F26=$G26,"ok","MISMATCH"))</f>
        <v>ok</v>
      </c>
      <c r="I26" s="144" t="n">
        <v>25000</v>
      </c>
      <c r="J26" s="16"/>
      <c r="L26" s="38" t="s">
        <v>145</v>
      </c>
    </row>
    <row r="28" customFormat="false" ht="15" hidden="false" customHeight="true" outlineLevel="0" collapsed="false">
      <c r="B28" s="11" t="s">
        <v>459</v>
      </c>
      <c r="F28" s="77" t="n">
        <f aca="false">SUM(F11:F26)</f>
        <v>3350</v>
      </c>
    </row>
    <row r="29" customFormat="false" ht="15" hidden="false" customHeight="true" outlineLevel="0" collapsed="false">
      <c r="B29" s="18" t="s">
        <v>1166</v>
      </c>
    </row>
    <row r="30" customFormat="false" ht="15" hidden="false" customHeight="true" outlineLevel="0" collapsed="false">
      <c r="B30" s="11" t="s">
        <v>461</v>
      </c>
    </row>
    <row r="31" customFormat="false" ht="15" hidden="false" customHeight="true" outlineLevel="0" collapsed="false">
      <c r="B31" s="4" t="s">
        <v>463</v>
      </c>
      <c r="C31" s="4" t="s">
        <v>464</v>
      </c>
      <c r="D31" s="4" t="s">
        <v>465</v>
      </c>
    </row>
    <row r="32" customFormat="false" ht="15" hidden="false" customHeight="true" outlineLevel="0" collapsed="false">
      <c r="C32" s="13" t="n">
        <v>1</v>
      </c>
      <c r="D32" s="79" t="n">
        <v>1000</v>
      </c>
      <c r="E32" s="80" t="s">
        <v>466</v>
      </c>
    </row>
    <row r="33" customFormat="false" ht="15" hidden="false" customHeight="true" outlineLevel="0" collapsed="false">
      <c r="C33" s="13" t="n">
        <v>2</v>
      </c>
      <c r="D33" s="79" t="n">
        <v>750</v>
      </c>
      <c r="E33" s="80" t="s">
        <v>467</v>
      </c>
    </row>
    <row r="34" customFormat="false" ht="15" hidden="false" customHeight="true" outlineLevel="0" collapsed="false">
      <c r="C34" s="13" t="n">
        <v>3</v>
      </c>
      <c r="D34" s="79" t="n">
        <v>500</v>
      </c>
      <c r="E34" s="80" t="s">
        <v>468</v>
      </c>
    </row>
    <row r="35" customFormat="false" ht="15" hidden="false" customHeight="true" outlineLevel="0" collapsed="false">
      <c r="C35" s="13" t="n">
        <v>4</v>
      </c>
      <c r="D35" s="79" t="n">
        <v>300</v>
      </c>
      <c r="E35" s="80" t="s">
        <v>469</v>
      </c>
    </row>
    <row r="36" customFormat="false" ht="15" hidden="false" customHeight="true" outlineLevel="0" collapsed="false">
      <c r="C36" s="13" t="n">
        <v>5</v>
      </c>
      <c r="D36" s="79" t="n">
        <v>200</v>
      </c>
      <c r="E36" s="80" t="s">
        <v>537</v>
      </c>
    </row>
    <row r="37" customFormat="false" ht="15" hidden="false" customHeight="true" outlineLevel="0" collapsed="false">
      <c r="C37" s="13" t="n">
        <v>9</v>
      </c>
      <c r="D37" s="79" t="n">
        <v>0</v>
      </c>
      <c r="E37" s="80" t="s">
        <v>1055</v>
      </c>
    </row>
    <row r="40" customFormat="false" ht="15" hidden="false" customHeight="true" outlineLevel="0" collapsed="false">
      <c r="B40" s="11" t="s">
        <v>1229</v>
      </c>
    </row>
    <row r="41" customFormat="false" ht="15" hidden="false" customHeight="true" outlineLevel="0" collapsed="false">
      <c r="B41" s="3" t="s">
        <v>1345</v>
      </c>
      <c r="C41" s="3"/>
      <c r="D41" s="3"/>
      <c r="E41" s="3"/>
      <c r="F41" s="3"/>
      <c r="G41" s="3"/>
      <c r="H41" s="3"/>
      <c r="I41" s="3"/>
      <c r="J41" s="3"/>
    </row>
    <row r="42" customFormat="false" ht="15" hidden="false" customHeight="true" outlineLevel="0" collapsed="false">
      <c r="B42" s="3"/>
      <c r="C42" s="3"/>
      <c r="D42" s="3"/>
      <c r="E42" s="3"/>
      <c r="F42" s="3"/>
      <c r="G42" s="3"/>
      <c r="H42" s="3"/>
      <c r="I42" s="3"/>
      <c r="J42" s="3"/>
    </row>
    <row r="43" customFormat="false" ht="15" hidden="false" customHeight="true" outlineLevel="0" collapsed="false">
      <c r="B43" s="3"/>
      <c r="C43" s="3"/>
      <c r="D43" s="3"/>
      <c r="E43" s="3"/>
      <c r="F43" s="3"/>
      <c r="G43" s="3"/>
      <c r="H43" s="3"/>
      <c r="I43" s="3"/>
      <c r="J43" s="3"/>
    </row>
    <row r="44" customFormat="false" ht="15" hidden="false" customHeight="true" outlineLevel="0" collapsed="false">
      <c r="B44" s="3"/>
      <c r="C44" s="3"/>
      <c r="D44" s="3"/>
      <c r="E44" s="3"/>
      <c r="F44" s="3"/>
      <c r="G44" s="3"/>
      <c r="H44" s="3"/>
      <c r="I44" s="3"/>
      <c r="J44" s="3"/>
    </row>
    <row r="45" customFormat="false" ht="15" hidden="false" customHeight="true" outlineLevel="0" collapsed="false">
      <c r="B45" s="3"/>
      <c r="C45" s="3"/>
      <c r="D45" s="3"/>
      <c r="E45" s="3"/>
      <c r="F45" s="3"/>
      <c r="G45" s="3"/>
      <c r="H45" s="3"/>
      <c r="I45" s="3"/>
      <c r="J45" s="3"/>
    </row>
    <row r="46" customFormat="false" ht="15" hidden="false" customHeight="true" outlineLevel="0" collapsed="false">
      <c r="B46" s="3"/>
      <c r="C46" s="3"/>
      <c r="D46" s="3"/>
      <c r="E46" s="3"/>
      <c r="F46" s="3"/>
      <c r="G46" s="3"/>
      <c r="H46" s="3"/>
      <c r="I46" s="3"/>
      <c r="J46" s="3"/>
    </row>
    <row r="47" customFormat="false" ht="15" hidden="false" customHeight="true" outlineLevel="0" collapsed="false">
      <c r="B47" s="3"/>
      <c r="C47" s="3"/>
      <c r="D47" s="3"/>
      <c r="E47" s="3"/>
      <c r="F47" s="3"/>
      <c r="G47" s="3"/>
      <c r="H47" s="3"/>
      <c r="I47" s="3"/>
      <c r="J47" s="3"/>
    </row>
    <row r="49" customFormat="false" ht="23.25" hidden="false" customHeight="true" outlineLevel="0" collapsed="false">
      <c r="B49" s="4" t="s">
        <v>556</v>
      </c>
      <c r="C49" s="4" t="s">
        <v>573</v>
      </c>
      <c r="D49" s="4" t="s">
        <v>1059</v>
      </c>
      <c r="E49" s="4" t="s">
        <v>1060</v>
      </c>
      <c r="F49" s="4" t="s">
        <v>760</v>
      </c>
      <c r="G49" s="4" t="s">
        <v>761</v>
      </c>
    </row>
    <row r="50" customFormat="false" ht="15" hidden="false" customHeight="true" outlineLevel="0" collapsed="false">
      <c r="B50" s="110" t="s">
        <v>558</v>
      </c>
      <c r="C50" s="13" t="n">
        <f aca="false">COUNTIF($D$11:$D$26,$B50)</f>
        <v>7</v>
      </c>
      <c r="D50" s="13" t="n">
        <f aca="false">SUMPRODUCT(($D$11:$D$26=$B50)*($F$11:$F$26&gt;0))</f>
        <v>5</v>
      </c>
      <c r="E50" s="149" t="n">
        <f aca="false">IF(C50=0,"",D50/C50)</f>
        <v>0.714285714285714</v>
      </c>
      <c r="F50" s="13" t="n">
        <f aca="false">1</f>
        <v>1</v>
      </c>
      <c r="G50" s="13" t="n">
        <f aca="false">F50+C50-1</f>
        <v>7</v>
      </c>
    </row>
    <row r="51" customFormat="false" ht="15" hidden="false" customHeight="true" outlineLevel="0" collapsed="false">
      <c r="B51" s="113" t="s">
        <v>560</v>
      </c>
      <c r="C51" s="13" t="n">
        <f aca="false">COUNTIF($D$11:$D$26,$B51)</f>
        <v>3</v>
      </c>
      <c r="D51" s="13" t="n">
        <f aca="false">SUMPRODUCT(($D$11:$D$26=$B51)*($F$11:$F$26&gt;0))</f>
        <v>2</v>
      </c>
      <c r="E51" s="149" t="n">
        <f aca="false">IF(C51=0,"",D51/C51)</f>
        <v>0.666666666666667</v>
      </c>
      <c r="F51" s="13" t="n">
        <f aca="false">G50+1</f>
        <v>8</v>
      </c>
      <c r="G51" s="13" t="n">
        <f aca="false">F51+C51-1</f>
        <v>10</v>
      </c>
    </row>
    <row r="52" customFormat="false" ht="15" hidden="false" customHeight="true" outlineLevel="0" collapsed="false">
      <c r="B52" s="114" t="s">
        <v>565</v>
      </c>
      <c r="C52" s="13" t="n">
        <f aca="false">COUNTIF($D$11:$D$26,$B52)</f>
        <v>6</v>
      </c>
      <c r="D52" s="13" t="n">
        <f aca="false">SUMPRODUCT(($D$11:$D$26=$B52)*($F$11:$F$26&gt;0))</f>
        <v>1</v>
      </c>
      <c r="E52" s="149" t="n">
        <f aca="false">IF(C52=0,"",D52/C52)</f>
        <v>0.166666666666667</v>
      </c>
      <c r="F52" s="13" t="n">
        <f aca="false">G51+1</f>
        <v>11</v>
      </c>
      <c r="G52" s="13" t="n">
        <f aca="false">F52+C52-1</f>
        <v>16</v>
      </c>
    </row>
    <row r="54" customFormat="false" ht="15" hidden="false" customHeight="true" outlineLevel="0" collapsed="false">
      <c r="B54" s="18" t="s">
        <v>1346</v>
      </c>
    </row>
  </sheetData>
  <sheetProtection sheet="true" formatCells="false" selectLockedCells="true" selectUnlockedCells="true"/>
  <mergeCells count="1">
    <mergeCell ref="B41:J47"/>
  </mergeCells>
  <dataValidations count="2">
    <dataValidation allowBlank="true" error="Pick a placement from the list." errorStyle="stop" errorTitle="Use the dropdown" operator="between" showDropDown="false" showErrorMessage="false" showInputMessage="false" sqref="E11:E26" type="list">
      <formula1>"1,2,3,4,5-8,9-12,13-16"</formula1>
      <formula2>0</formula2>
    </dataValidation>
    <dataValidation allowBlank="true" errorStyle="stop" operator="between" showDropDown="false" showErrorMessage="false" showInputMessage="false" sqref="D11:D26"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3" min="3" style="1" width="20"/>
    <col collapsed="false" customWidth="true" hidden="false" outlineLevel="0" max="4" min="4" style="1" width="40"/>
    <col collapsed="false" customWidth="true" hidden="false" outlineLevel="0" max="5" min="5" style="1" width="10"/>
    <col collapsed="false" customWidth="true" hidden="false" outlineLevel="0" max="6" min="6" style="1" width="11"/>
    <col collapsed="false" customWidth="true" hidden="false" outlineLevel="0" max="7" min="7" style="1" width="12"/>
    <col collapsed="false" customWidth="true" hidden="false" outlineLevel="0" max="8" min="8" style="1" width="15"/>
    <col collapsed="false" customWidth="true" hidden="false" outlineLevel="0" max="9" min="9" style="1" width="10"/>
    <col collapsed="false" customWidth="true" hidden="false" outlineLevel="0" max="10" min="10" style="1" width="12"/>
    <col collapsed="false" customWidth="true" hidden="false" outlineLevel="0" max="11" min="11" style="1" width="30"/>
  </cols>
  <sheetData>
    <row r="2" customFormat="false" ht="18" hidden="false" customHeight="true" outlineLevel="0" collapsed="false">
      <c r="B2" s="2" t="s">
        <v>1347</v>
      </c>
    </row>
    <row r="3" customFormat="false" ht="15" hidden="false" customHeight="true" outlineLevel="0" collapsed="false">
      <c r="B3" s="18" t="s">
        <v>1348</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1349</v>
      </c>
      <c r="D6" s="28" t="s">
        <v>1350</v>
      </c>
      <c r="F6" s="28" t="s">
        <v>1100</v>
      </c>
      <c r="H6" s="28" t="s">
        <v>1351</v>
      </c>
      <c r="J6" s="28" t="s">
        <v>1352</v>
      </c>
      <c r="L6" s="28" t="s">
        <v>1353</v>
      </c>
    </row>
    <row r="8" customFormat="false" ht="15" hidden="false" customHeight="true" outlineLevel="0" collapsed="false">
      <c r="B8" s="11" t="s">
        <v>416</v>
      </c>
    </row>
    <row r="9" customFormat="false" ht="15" hidden="false" customHeight="true" outlineLevel="0" collapsed="false">
      <c r="B9" s="18" t="s">
        <v>1354</v>
      </c>
    </row>
    <row r="10" customFormat="false" ht="34.5" hidden="false" customHeight="true" outlineLevel="0" collapsed="false">
      <c r="B10" s="4" t="s">
        <v>1190</v>
      </c>
      <c r="C10" s="4" t="s">
        <v>426</v>
      </c>
      <c r="D10" s="4" t="s">
        <v>1327</v>
      </c>
      <c r="E10" s="4" t="s">
        <v>556</v>
      </c>
      <c r="F10" s="4" t="s">
        <v>421</v>
      </c>
      <c r="G10" s="4" t="s">
        <v>422</v>
      </c>
      <c r="H10" s="4" t="s">
        <v>423</v>
      </c>
      <c r="I10" s="4" t="s">
        <v>424</v>
      </c>
      <c r="J10" s="4" t="s">
        <v>425</v>
      </c>
      <c r="K10" s="4" t="s">
        <v>41</v>
      </c>
      <c r="M10" s="4" t="s">
        <v>426</v>
      </c>
    </row>
    <row r="11" customFormat="false" ht="15" hidden="false" customHeight="true" outlineLevel="0" collapsed="false">
      <c r="B11" s="29" t="s">
        <v>290</v>
      </c>
      <c r="C11" s="31" t="s">
        <v>290</v>
      </c>
      <c r="D11" s="85" t="s">
        <v>1355</v>
      </c>
      <c r="E11" s="99" t="s">
        <v>558</v>
      </c>
      <c r="F11" s="32" t="s">
        <v>427</v>
      </c>
      <c r="G11" s="33" t="n">
        <f aca="false">IF($F11="","",IFERROR(LOOKUP(VALUE(LEFT($F11&amp;"",FIND("-",$F11&amp;"-")-1)),$C$40:$C$48,$D$40:$D$48),""))</f>
        <v>1000</v>
      </c>
      <c r="H11" s="34" t="n">
        <v>1000</v>
      </c>
      <c r="I11" s="35" t="str">
        <f aca="false">IF($H11="","n/a",IF($G11=$H11,"ok","MISMATCH"))</f>
        <v>ok</v>
      </c>
      <c r="J11" s="137" t="n">
        <v>300000</v>
      </c>
      <c r="K11" s="85"/>
      <c r="M11" s="38" t="s">
        <v>290</v>
      </c>
    </row>
    <row r="12" customFormat="false" ht="15" hidden="false" customHeight="true" outlineLevel="0" collapsed="false">
      <c r="B12" s="39" t="s">
        <v>1116</v>
      </c>
      <c r="C12" s="156" t="s">
        <v>127</v>
      </c>
      <c r="D12" s="87" t="s">
        <v>1356</v>
      </c>
      <c r="E12" s="99" t="s">
        <v>558</v>
      </c>
      <c r="F12" s="42" t="s">
        <v>428</v>
      </c>
      <c r="G12" s="43" t="n">
        <f aca="false">IF($F12="","",IFERROR(LOOKUP(VALUE(LEFT($F12&amp;"",FIND("-",$F12&amp;"-")-1)),$C$40:$C$48,$D$40:$D$48),""))</f>
        <v>750</v>
      </c>
      <c r="H12" s="44" t="n">
        <v>750</v>
      </c>
      <c r="I12" s="45" t="str">
        <f aca="false">IF($H12="","n/a",IF($G12=$H12,"ok","MISMATCH"))</f>
        <v>ok</v>
      </c>
      <c r="J12" s="139" t="n">
        <v>180000</v>
      </c>
      <c r="K12" s="87" t="s">
        <v>1357</v>
      </c>
      <c r="M12" s="38" t="s">
        <v>127</v>
      </c>
    </row>
    <row r="13" customFormat="false" ht="15" hidden="false" customHeight="true" outlineLevel="0" collapsed="false">
      <c r="B13" s="48" t="s">
        <v>251</v>
      </c>
      <c r="C13" s="50" t="s">
        <v>251</v>
      </c>
      <c r="D13" s="89" t="s">
        <v>1358</v>
      </c>
      <c r="E13" s="99" t="s">
        <v>558</v>
      </c>
      <c r="F13" s="51" t="s">
        <v>430</v>
      </c>
      <c r="G13" s="52" t="n">
        <f aca="false">IF($F13="","",IFERROR(LOOKUP(VALUE(LEFT($F13&amp;"",FIND("-",$F13&amp;"-")-1)),$C$40:$C$48,$D$40:$D$48),""))</f>
        <v>500</v>
      </c>
      <c r="H13" s="53" t="n">
        <v>500</v>
      </c>
      <c r="I13" s="54" t="str">
        <f aca="false">IF($H13="","n/a",IF($G13=$H13,"ok","MISMATCH"))</f>
        <v>ok</v>
      </c>
      <c r="J13" s="140" t="n">
        <v>120000</v>
      </c>
      <c r="K13" s="89"/>
      <c r="M13" s="38" t="s">
        <v>251</v>
      </c>
    </row>
    <row r="14" customFormat="false" ht="15" hidden="false" customHeight="true" outlineLevel="0" collapsed="false">
      <c r="B14" s="57" t="s">
        <v>134</v>
      </c>
      <c r="C14" s="59" t="s">
        <v>134</v>
      </c>
      <c r="D14" s="91" t="s">
        <v>1359</v>
      </c>
      <c r="E14" s="99" t="s">
        <v>558</v>
      </c>
      <c r="F14" s="60" t="s">
        <v>431</v>
      </c>
      <c r="G14" s="61" t="n">
        <f aca="false">IF($F14="","",IFERROR(LOOKUP(VALUE(LEFT($F14&amp;"",FIND("-",$F14&amp;"-")-1)),$C$40:$C$48,$D$40:$D$48),""))</f>
        <v>300</v>
      </c>
      <c r="H14" s="62" t="n">
        <v>300</v>
      </c>
      <c r="I14" s="63" t="str">
        <f aca="false">IF($H14="","n/a",IF($G14=$H14,"ok","MISMATCH"))</f>
        <v>ok</v>
      </c>
      <c r="J14" s="142" t="n">
        <v>80000</v>
      </c>
      <c r="K14" s="91"/>
      <c r="M14" s="38" t="s">
        <v>134</v>
      </c>
    </row>
    <row r="15" customFormat="false" ht="15" hidden="false" customHeight="true" outlineLevel="0" collapsed="false">
      <c r="B15" s="57" t="s">
        <v>212</v>
      </c>
      <c r="C15" s="59" t="s">
        <v>212</v>
      </c>
      <c r="D15" s="91" t="s">
        <v>1360</v>
      </c>
      <c r="E15" s="99" t="s">
        <v>558</v>
      </c>
      <c r="F15" s="60" t="s">
        <v>604</v>
      </c>
      <c r="G15" s="61" t="n">
        <f aca="false">IF($F15="","",IFERROR(LOOKUP(VALUE(LEFT($F15&amp;"",FIND("-",$F15&amp;"-")-1)),$C$40:$C$48,$D$40:$D$48),""))</f>
        <v>200</v>
      </c>
      <c r="H15" s="62" t="n">
        <v>200</v>
      </c>
      <c r="I15" s="63" t="str">
        <f aca="false">IF($H15="","n/a",IF($G15=$H15,"ok","MISMATCH"))</f>
        <v>ok</v>
      </c>
      <c r="J15" s="142" t="n">
        <v>61000</v>
      </c>
      <c r="K15" s="91"/>
      <c r="M15" s="38" t="s">
        <v>212</v>
      </c>
    </row>
    <row r="16" customFormat="false" ht="15" hidden="false" customHeight="true" outlineLevel="0" collapsed="false">
      <c r="B16" s="57" t="s">
        <v>114</v>
      </c>
      <c r="C16" s="59" t="s">
        <v>114</v>
      </c>
      <c r="D16" s="91" t="s">
        <v>1361</v>
      </c>
      <c r="E16" s="99" t="s">
        <v>558</v>
      </c>
      <c r="F16" s="60" t="s">
        <v>608</v>
      </c>
      <c r="G16" s="61" t="n">
        <f aca="false">IF($F16="","",IFERROR(LOOKUP(VALUE(LEFT($F16&amp;"",FIND("-",$F16&amp;"-")-1)),$C$40:$C$48,$D$40:$D$48),""))</f>
        <v>150</v>
      </c>
      <c r="H16" s="62" t="n">
        <v>150</v>
      </c>
      <c r="I16" s="63" t="str">
        <f aca="false">IF($H16="","n/a",IF($G16=$H16,"ok","MISMATCH"))</f>
        <v>ok</v>
      </c>
      <c r="J16" s="142" t="n">
        <v>47000</v>
      </c>
      <c r="K16" s="91"/>
      <c r="M16" s="38" t="s">
        <v>114</v>
      </c>
    </row>
    <row r="17" customFormat="false" ht="15" hidden="false" customHeight="true" outlineLevel="0" collapsed="false">
      <c r="B17" s="57" t="s">
        <v>275</v>
      </c>
      <c r="C17" s="59" t="s">
        <v>275</v>
      </c>
      <c r="D17" s="91" t="s">
        <v>1362</v>
      </c>
      <c r="E17" s="99" t="s">
        <v>558</v>
      </c>
      <c r="F17" s="60" t="s">
        <v>611</v>
      </c>
      <c r="G17" s="61" t="n">
        <f aca="false">IF($F17="","",IFERROR(LOOKUP(VALUE(LEFT($F17&amp;"",FIND("-",$F17&amp;"-")-1)),$C$40:$C$48,$D$40:$D$48),""))</f>
        <v>100</v>
      </c>
      <c r="H17" s="62" t="n">
        <v>100</v>
      </c>
      <c r="I17" s="63" t="str">
        <f aca="false">IF($H17="","n/a",IF($G17=$H17,"ok","MISMATCH"))</f>
        <v>ok</v>
      </c>
      <c r="J17" s="142" t="n">
        <v>37000</v>
      </c>
      <c r="K17" s="91"/>
      <c r="M17" s="38" t="s">
        <v>275</v>
      </c>
    </row>
    <row r="18" customFormat="false" ht="15" hidden="false" customHeight="true" outlineLevel="0" collapsed="false">
      <c r="B18" s="57" t="s">
        <v>202</v>
      </c>
      <c r="C18" s="59" t="s">
        <v>202</v>
      </c>
      <c r="D18" s="91" t="s">
        <v>1363</v>
      </c>
      <c r="E18" s="99" t="s">
        <v>558</v>
      </c>
      <c r="F18" s="60" t="s">
        <v>612</v>
      </c>
      <c r="G18" s="61" t="n">
        <f aca="false">IF($F18="","",IFERROR(LOOKUP(VALUE(LEFT($F18&amp;"",FIND("-",$F18&amp;"-")-1)),$C$40:$C$48,$D$40:$D$48),""))</f>
        <v>50</v>
      </c>
      <c r="H18" s="62" t="n">
        <v>50</v>
      </c>
      <c r="I18" s="63" t="str">
        <f aca="false">IF($H18="","n/a",IF($G18=$H18,"ok","MISMATCH"))</f>
        <v>ok</v>
      </c>
      <c r="J18" s="142" t="n">
        <v>30000</v>
      </c>
      <c r="K18" s="91"/>
      <c r="M18" s="38" t="s">
        <v>202</v>
      </c>
    </row>
    <row r="19" customFormat="false" ht="15" hidden="false" customHeight="true" outlineLevel="0" collapsed="false">
      <c r="B19" s="66" t="s">
        <v>1364</v>
      </c>
      <c r="C19" s="154" t="s">
        <v>187</v>
      </c>
      <c r="D19" s="16" t="s">
        <v>1365</v>
      </c>
      <c r="E19" s="99" t="s">
        <v>558</v>
      </c>
      <c r="F19" s="69" t="s">
        <v>614</v>
      </c>
      <c r="G19" s="70" t="n">
        <f aca="false">IF($F19="","",IFERROR(LOOKUP(VALUE(LEFT($F19&amp;"",FIND("-",$F19&amp;"-")-1)),$C$40:$C$48,$D$40:$D$48),""))</f>
        <v>0</v>
      </c>
      <c r="H19" s="71" t="n">
        <v>0</v>
      </c>
      <c r="I19" s="72" t="str">
        <f aca="false">IF($H19="","n/a",IF($G19=$H19,"ok","MISMATCH"))</f>
        <v>ok</v>
      </c>
      <c r="J19" s="144" t="n">
        <v>26000</v>
      </c>
      <c r="K19" s="16" t="s">
        <v>1366</v>
      </c>
      <c r="M19" s="38" t="s">
        <v>187</v>
      </c>
    </row>
    <row r="20" customFormat="false" ht="15" hidden="false" customHeight="true" outlineLevel="0" collapsed="false">
      <c r="B20" s="66" t="s">
        <v>1367</v>
      </c>
      <c r="C20" s="68" t="s">
        <v>1367</v>
      </c>
      <c r="D20" s="16" t="s">
        <v>1368</v>
      </c>
      <c r="E20" s="99" t="s">
        <v>558</v>
      </c>
      <c r="F20" s="69" t="s">
        <v>617</v>
      </c>
      <c r="G20" s="70" t="n">
        <f aca="false">IF($F20="","",IFERROR(LOOKUP(VALUE(LEFT($F20&amp;"",FIND("-",$F20&amp;"-")-1)),$C$40:$C$48,$D$40:$D$48),""))</f>
        <v>0</v>
      </c>
      <c r="H20" s="71"/>
      <c r="I20" s="72" t="str">
        <f aca="false">IF($H20="","n/a",IF($G20=$H20,"ok","MISMATCH"))</f>
        <v>n/a</v>
      </c>
      <c r="J20" s="144" t="n">
        <v>22000</v>
      </c>
      <c r="K20" s="16"/>
      <c r="M20" s="38" t="s">
        <v>1367</v>
      </c>
    </row>
    <row r="21" customFormat="false" ht="15" hidden="false" customHeight="true" outlineLevel="0" collapsed="false">
      <c r="B21" s="66" t="s">
        <v>131</v>
      </c>
      <c r="C21" s="68" t="s">
        <v>131</v>
      </c>
      <c r="D21" s="16" t="s">
        <v>1369</v>
      </c>
      <c r="E21" s="109" t="s">
        <v>565</v>
      </c>
      <c r="F21" s="69" t="s">
        <v>620</v>
      </c>
      <c r="G21" s="70" t="n">
        <f aca="false">IF($F21="","",IFERROR(LOOKUP(VALUE(LEFT($F21&amp;"",FIND("-",$F21&amp;"-")-1)),$C$40:$C$48,$D$40:$D$48),""))</f>
        <v>0</v>
      </c>
      <c r="H21" s="71"/>
      <c r="I21" s="72" t="str">
        <f aca="false">IF($H21="","n/a",IF($G21=$H21,"ok","MISMATCH"))</f>
        <v>n/a</v>
      </c>
      <c r="J21" s="144" t="n">
        <v>18000</v>
      </c>
      <c r="K21" s="16"/>
      <c r="M21" s="38" t="s">
        <v>131</v>
      </c>
    </row>
    <row r="22" customFormat="false" ht="15" hidden="false" customHeight="true" outlineLevel="0" collapsed="false">
      <c r="B22" s="66" t="s">
        <v>1370</v>
      </c>
      <c r="C22" s="68" t="s">
        <v>1370</v>
      </c>
      <c r="D22" s="16" t="s">
        <v>1369</v>
      </c>
      <c r="E22" s="109" t="s">
        <v>565</v>
      </c>
      <c r="F22" s="69" t="s">
        <v>621</v>
      </c>
      <c r="G22" s="70" t="n">
        <f aca="false">IF($F22="","",IFERROR(LOOKUP(VALUE(LEFT($F22&amp;"",FIND("-",$F22&amp;"-")-1)),$C$40:$C$48,$D$40:$D$48),""))</f>
        <v>0</v>
      </c>
      <c r="H22" s="71"/>
      <c r="I22" s="72" t="str">
        <f aca="false">IF($H22="","n/a",IF($G22=$H22,"ok","MISMATCH"))</f>
        <v>n/a</v>
      </c>
      <c r="J22" s="144" t="n">
        <v>14000</v>
      </c>
      <c r="K22" s="16"/>
      <c r="M22" s="38" t="s">
        <v>1370</v>
      </c>
    </row>
    <row r="23" customFormat="false" ht="15" hidden="false" customHeight="true" outlineLevel="0" collapsed="false">
      <c r="B23" s="66" t="s">
        <v>119</v>
      </c>
      <c r="C23" s="68" t="s">
        <v>119</v>
      </c>
      <c r="D23" s="16" t="s">
        <v>1371</v>
      </c>
      <c r="E23" s="99" t="s">
        <v>558</v>
      </c>
      <c r="F23" s="69" t="s">
        <v>624</v>
      </c>
      <c r="G23" s="70" t="n">
        <f aca="false">IF($F23="","",IFERROR(LOOKUP(VALUE(LEFT($F23&amp;"",FIND("-",$F23&amp;"-")-1)),$C$40:$C$48,$D$40:$D$48),""))</f>
        <v>0</v>
      </c>
      <c r="H23" s="71" t="n">
        <v>0</v>
      </c>
      <c r="I23" s="72" t="str">
        <f aca="false">IF($H23="","n/a",IF($G23=$H23,"ok","MISMATCH"))</f>
        <v>ok</v>
      </c>
      <c r="J23" s="144" t="n">
        <v>11000</v>
      </c>
      <c r="K23" s="16"/>
      <c r="M23" s="38" t="s">
        <v>119</v>
      </c>
    </row>
    <row r="24" customFormat="false" ht="15" hidden="false" customHeight="true" outlineLevel="0" collapsed="false">
      <c r="B24" s="66" t="s">
        <v>1372</v>
      </c>
      <c r="C24" s="68" t="s">
        <v>1372</v>
      </c>
      <c r="D24" s="16" t="s">
        <v>1373</v>
      </c>
      <c r="E24" s="99" t="s">
        <v>558</v>
      </c>
      <c r="F24" s="69" t="s">
        <v>627</v>
      </c>
      <c r="G24" s="70" t="n">
        <f aca="false">IF($F24="","",IFERROR(LOOKUP(VALUE(LEFT($F24&amp;"",FIND("-",$F24&amp;"-")-1)),$C$40:$C$48,$D$40:$D$48),""))</f>
        <v>0</v>
      </c>
      <c r="H24" s="71"/>
      <c r="I24" s="72" t="str">
        <f aca="false">IF($H24="","n/a",IF($G24=$H24,"ok","MISMATCH"))</f>
        <v>n/a</v>
      </c>
      <c r="J24" s="144" t="n">
        <v>9000</v>
      </c>
      <c r="K24" s="16"/>
      <c r="M24" s="38" t="s">
        <v>1372</v>
      </c>
    </row>
    <row r="25" customFormat="false" ht="15" hidden="false" customHeight="true" outlineLevel="0" collapsed="false">
      <c r="B25" s="66" t="s">
        <v>567</v>
      </c>
      <c r="C25" s="68" t="s">
        <v>567</v>
      </c>
      <c r="D25" s="16" t="s">
        <v>1374</v>
      </c>
      <c r="E25" s="99" t="s">
        <v>558</v>
      </c>
      <c r="F25" s="69" t="s">
        <v>629</v>
      </c>
      <c r="G25" s="70" t="n">
        <f aca="false">IF($F25="","",IFERROR(LOOKUP(VALUE(LEFT($F25&amp;"",FIND("-",$F25&amp;"-")-1)),$C$40:$C$48,$D$40:$D$48),""))</f>
        <v>0</v>
      </c>
      <c r="H25" s="71" t="n">
        <v>0</v>
      </c>
      <c r="I25" s="72" t="str">
        <f aca="false">IF($H25="","n/a",IF($G25=$H25,"ok","MISMATCH"))</f>
        <v>ok</v>
      </c>
      <c r="J25" s="144" t="n">
        <v>7000</v>
      </c>
      <c r="K25" s="16" t="s">
        <v>1375</v>
      </c>
      <c r="M25" s="38" t="s">
        <v>567</v>
      </c>
    </row>
    <row r="26" customFormat="false" ht="15" hidden="false" customHeight="true" outlineLevel="0" collapsed="false">
      <c r="B26" s="66" t="s">
        <v>157</v>
      </c>
      <c r="C26" s="68" t="s">
        <v>157</v>
      </c>
      <c r="D26" s="16" t="s">
        <v>1376</v>
      </c>
      <c r="E26" s="99" t="s">
        <v>558</v>
      </c>
      <c r="F26" s="69" t="s">
        <v>632</v>
      </c>
      <c r="G26" s="70" t="n">
        <f aca="false">IF($F26="","",IFERROR(LOOKUP(VALUE(LEFT($F26&amp;"",FIND("-",$F26&amp;"-")-1)),$C$40:$C$48,$D$40:$D$48),""))</f>
        <v>0</v>
      </c>
      <c r="H26" s="71" t="n">
        <v>0</v>
      </c>
      <c r="I26" s="72" t="str">
        <f aca="false">IF($H26="","n/a",IF($G26=$H26,"ok","MISMATCH"))</f>
        <v>ok</v>
      </c>
      <c r="J26" s="144" t="n">
        <v>6000</v>
      </c>
      <c r="K26" s="16"/>
      <c r="M26" s="38" t="s">
        <v>157</v>
      </c>
    </row>
    <row r="27" customFormat="false" ht="15" hidden="false" customHeight="true" outlineLevel="0" collapsed="false">
      <c r="B27" s="66" t="s">
        <v>350</v>
      </c>
      <c r="C27" s="68" t="s">
        <v>350</v>
      </c>
      <c r="D27" s="16" t="s">
        <v>1369</v>
      </c>
      <c r="E27" s="109" t="s">
        <v>565</v>
      </c>
      <c r="F27" s="69" t="s">
        <v>524</v>
      </c>
      <c r="G27" s="70" t="n">
        <f aca="false">IF($F27="","",IFERROR(LOOKUP(VALUE(LEFT($F27&amp;"",FIND("-",$F27&amp;"-")-1)),$C$40:$C$48,$D$40:$D$48),""))</f>
        <v>0</v>
      </c>
      <c r="H27" s="71"/>
      <c r="I27" s="72" t="str">
        <f aca="false">IF($H27="","n/a",IF($G27=$H27,"ok","MISMATCH"))</f>
        <v>n/a</v>
      </c>
      <c r="J27" s="144" t="n">
        <v>5500</v>
      </c>
      <c r="K27" s="16"/>
      <c r="M27" s="38" t="s">
        <v>350</v>
      </c>
    </row>
    <row r="28" customFormat="false" ht="15" hidden="false" customHeight="true" outlineLevel="0" collapsed="false">
      <c r="B28" s="66" t="s">
        <v>147</v>
      </c>
      <c r="C28" s="68" t="s">
        <v>147</v>
      </c>
      <c r="D28" s="16" t="s">
        <v>1369</v>
      </c>
      <c r="E28" s="109" t="s">
        <v>565</v>
      </c>
      <c r="F28" s="69" t="s">
        <v>527</v>
      </c>
      <c r="G28" s="70" t="n">
        <f aca="false">IF($F28="","",IFERROR(LOOKUP(VALUE(LEFT($F28&amp;"",FIND("-",$F28&amp;"-")-1)),$C$40:$C$48,$D$40:$D$48),""))</f>
        <v>0</v>
      </c>
      <c r="H28" s="71" t="n">
        <v>0</v>
      </c>
      <c r="I28" s="72" t="str">
        <f aca="false">IF($H28="","n/a",IF($G28=$H28,"ok","MISMATCH"))</f>
        <v>ok</v>
      </c>
      <c r="J28" s="144" t="n">
        <v>5000</v>
      </c>
      <c r="K28" s="16"/>
      <c r="M28" s="38" t="s">
        <v>147</v>
      </c>
    </row>
    <row r="29" customFormat="false" ht="15" hidden="false" customHeight="true" outlineLevel="0" collapsed="false">
      <c r="B29" s="66" t="s">
        <v>1377</v>
      </c>
      <c r="C29" s="68" t="s">
        <v>1377</v>
      </c>
      <c r="D29" s="16" t="s">
        <v>1369</v>
      </c>
      <c r="E29" s="109" t="s">
        <v>565</v>
      </c>
      <c r="F29" s="69" t="s">
        <v>634</v>
      </c>
      <c r="G29" s="70" t="n">
        <f aca="false">IF($F29="","",IFERROR(LOOKUP(VALUE(LEFT($F29&amp;"",FIND("-",$F29&amp;"-")-1)),$C$40:$C$48,$D$40:$D$48),""))</f>
        <v>0</v>
      </c>
      <c r="H29" s="71"/>
      <c r="I29" s="72" t="str">
        <f aca="false">IF($H29="","n/a",IF($G29=$H29,"ok","MISMATCH"))</f>
        <v>n/a</v>
      </c>
      <c r="J29" s="144" t="n">
        <v>4500</v>
      </c>
      <c r="K29" s="16"/>
      <c r="M29" s="38" t="s">
        <v>1377</v>
      </c>
    </row>
    <row r="30" customFormat="false" ht="15" hidden="false" customHeight="true" outlineLevel="0" collapsed="false">
      <c r="B30" s="66" t="s">
        <v>1378</v>
      </c>
      <c r="C30" s="68" t="s">
        <v>1378</v>
      </c>
      <c r="D30" s="16" t="s">
        <v>1369</v>
      </c>
      <c r="E30" s="109" t="s">
        <v>565</v>
      </c>
      <c r="F30" s="69" t="s">
        <v>635</v>
      </c>
      <c r="G30" s="70" t="n">
        <f aca="false">IF($F30="","",IFERROR(LOOKUP(VALUE(LEFT($F30&amp;"",FIND("-",$F30&amp;"-")-1)),$C$40:$C$48,$D$40:$D$48),""))</f>
        <v>0</v>
      </c>
      <c r="H30" s="71"/>
      <c r="I30" s="72" t="str">
        <f aca="false">IF($H30="","n/a",IF($G30=$H30,"ok","MISMATCH"))</f>
        <v>n/a</v>
      </c>
      <c r="J30" s="144" t="n">
        <v>4000</v>
      </c>
      <c r="K30" s="16"/>
      <c r="M30" s="38" t="s">
        <v>1378</v>
      </c>
    </row>
    <row r="31" customFormat="false" ht="15" hidden="false" customHeight="true" outlineLevel="0" collapsed="false">
      <c r="B31" s="66" t="s">
        <v>269</v>
      </c>
      <c r="C31" s="68" t="s">
        <v>269</v>
      </c>
      <c r="D31" s="16" t="s">
        <v>1369</v>
      </c>
      <c r="E31" s="109" t="s">
        <v>565</v>
      </c>
      <c r="F31" s="69" t="s">
        <v>532</v>
      </c>
      <c r="G31" s="70" t="n">
        <f aca="false">IF($F31="","",IFERROR(LOOKUP(VALUE(LEFT($F31&amp;"",FIND("-",$F31&amp;"-")-1)),$C$40:$C$48,$D$40:$D$48),""))</f>
        <v>0</v>
      </c>
      <c r="H31" s="71"/>
      <c r="I31" s="72" t="str">
        <f aca="false">IF($H31="","n/a",IF($G31=$H31,"ok","MISMATCH"))</f>
        <v>n/a</v>
      </c>
      <c r="J31" s="144" t="n">
        <v>3500</v>
      </c>
      <c r="K31" s="16"/>
      <c r="M31" s="38" t="s">
        <v>269</v>
      </c>
    </row>
    <row r="32" customFormat="false" ht="15" hidden="false" customHeight="true" outlineLevel="0" collapsed="false">
      <c r="B32" s="66" t="s">
        <v>1379</v>
      </c>
      <c r="C32" s="68" t="s">
        <v>1379</v>
      </c>
      <c r="D32" s="16" t="s">
        <v>1369</v>
      </c>
      <c r="E32" s="109" t="s">
        <v>565</v>
      </c>
      <c r="F32" s="69" t="s">
        <v>532</v>
      </c>
      <c r="G32" s="70" t="n">
        <f aca="false">IF($F32="","",IFERROR(LOOKUP(VALUE(LEFT($F32&amp;"",FIND("-",$F32&amp;"-")-1)),$C$40:$C$48,$D$40:$D$48),""))</f>
        <v>0</v>
      </c>
      <c r="H32" s="71"/>
      <c r="I32" s="72" t="str">
        <f aca="false">IF($H32="","n/a",IF($G32=$H32,"ok","MISMATCH"))</f>
        <v>n/a</v>
      </c>
      <c r="J32" s="144" t="n">
        <v>3500</v>
      </c>
      <c r="K32" s="16"/>
      <c r="M32" s="38" t="s">
        <v>1379</v>
      </c>
    </row>
    <row r="33" customFormat="false" ht="15" hidden="false" customHeight="true" outlineLevel="0" collapsed="false">
      <c r="B33" s="66" t="s">
        <v>1380</v>
      </c>
      <c r="C33" s="68" t="s">
        <v>1380</v>
      </c>
      <c r="D33" s="16" t="s">
        <v>1369</v>
      </c>
      <c r="E33" s="109" t="s">
        <v>565</v>
      </c>
      <c r="F33" s="69" t="s">
        <v>1381</v>
      </c>
      <c r="G33" s="70" t="n">
        <f aca="false">IF($F33="","",IFERROR(LOOKUP(VALUE(LEFT($F33&amp;"",FIND("-",$F33&amp;"-")-1)),$C$40:$C$48,$D$40:$D$48),""))</f>
        <v>0</v>
      </c>
      <c r="H33" s="71"/>
      <c r="I33" s="72" t="str">
        <f aca="false">IF($H33="","n/a",IF($G33=$H33,"ok","MISMATCH"))</f>
        <v>n/a</v>
      </c>
      <c r="J33" s="144" t="n">
        <v>3000</v>
      </c>
      <c r="K33" s="16"/>
      <c r="M33" s="38" t="s">
        <v>1380</v>
      </c>
    </row>
    <row r="34" customFormat="false" ht="15" hidden="false" customHeight="true" outlineLevel="0" collapsed="false">
      <c r="B34" s="66" t="s">
        <v>1382</v>
      </c>
      <c r="C34" s="68" t="s">
        <v>1382</v>
      </c>
      <c r="D34" s="16" t="s">
        <v>1369</v>
      </c>
      <c r="E34" s="109" t="s">
        <v>565</v>
      </c>
      <c r="F34" s="69" t="s">
        <v>1381</v>
      </c>
      <c r="G34" s="70" t="n">
        <f aca="false">IF($F34="","",IFERROR(LOOKUP(VALUE(LEFT($F34&amp;"",FIND("-",$F34&amp;"-")-1)),$C$40:$C$48,$D$40:$D$48),""))</f>
        <v>0</v>
      </c>
      <c r="H34" s="71"/>
      <c r="I34" s="72" t="str">
        <f aca="false">IF($H34="","n/a",IF($G34=$H34,"ok","MISMATCH"))</f>
        <v>n/a</v>
      </c>
      <c r="J34" s="144" t="n">
        <v>3000</v>
      </c>
      <c r="K34" s="16"/>
      <c r="M34" s="38" t="s">
        <v>1382</v>
      </c>
    </row>
    <row r="36" customFormat="false" ht="15" hidden="false" customHeight="true" outlineLevel="0" collapsed="false">
      <c r="B36" s="11" t="s">
        <v>459</v>
      </c>
      <c r="G36" s="77" t="n">
        <f aca="false">SUM(G11:G34)</f>
        <v>3050</v>
      </c>
    </row>
    <row r="37" customFormat="false" ht="15" hidden="false" customHeight="true" outlineLevel="0" collapsed="false">
      <c r="B37" s="18" t="s">
        <v>1383</v>
      </c>
    </row>
    <row r="38" customFormat="false" ht="15" hidden="false" customHeight="true" outlineLevel="0" collapsed="false">
      <c r="B38" s="11" t="s">
        <v>461</v>
      </c>
    </row>
    <row r="39" customFormat="false" ht="15" hidden="false" customHeight="true" outlineLevel="0" collapsed="false">
      <c r="B39" s="4" t="s">
        <v>664</v>
      </c>
      <c r="C39" s="4" t="s">
        <v>464</v>
      </c>
    </row>
    <row r="40" customFormat="false" ht="15" hidden="false" customHeight="true" outlineLevel="0" collapsed="false">
      <c r="C40" s="13" t="n">
        <v>1</v>
      </c>
      <c r="D40" s="79" t="n">
        <v>1000</v>
      </c>
      <c r="E40" s="80"/>
    </row>
    <row r="41" customFormat="false" ht="15" hidden="false" customHeight="true" outlineLevel="0" collapsed="false">
      <c r="C41" s="13" t="n">
        <v>2</v>
      </c>
      <c r="D41" s="79" t="n">
        <v>750</v>
      </c>
      <c r="E41" s="80"/>
    </row>
    <row r="42" customFormat="false" ht="15" hidden="false" customHeight="true" outlineLevel="0" collapsed="false">
      <c r="C42" s="13" t="n">
        <v>3</v>
      </c>
      <c r="D42" s="79" t="n">
        <v>500</v>
      </c>
      <c r="E42" s="80"/>
    </row>
    <row r="43" customFormat="false" ht="15" hidden="false" customHeight="true" outlineLevel="0" collapsed="false">
      <c r="C43" s="13" t="n">
        <v>4</v>
      </c>
      <c r="D43" s="79" t="n">
        <v>300</v>
      </c>
      <c r="E43" s="80"/>
    </row>
    <row r="44" customFormat="false" ht="15" hidden="false" customHeight="true" outlineLevel="0" collapsed="false">
      <c r="C44" s="13" t="n">
        <v>5</v>
      </c>
      <c r="D44" s="79" t="n">
        <v>200</v>
      </c>
      <c r="E44" s="80"/>
    </row>
    <row r="45" customFormat="false" ht="15" hidden="false" customHeight="true" outlineLevel="0" collapsed="false">
      <c r="C45" s="13" t="n">
        <v>6</v>
      </c>
      <c r="D45" s="79" t="n">
        <v>150</v>
      </c>
      <c r="E45" s="80"/>
    </row>
    <row r="46" customFormat="false" ht="15" hidden="false" customHeight="true" outlineLevel="0" collapsed="false">
      <c r="C46" s="13" t="n">
        <v>7</v>
      </c>
      <c r="D46" s="79" t="n">
        <v>100</v>
      </c>
      <c r="E46" s="80"/>
    </row>
    <row r="47" customFormat="false" ht="15" hidden="false" customHeight="true" outlineLevel="0" collapsed="false">
      <c r="C47" s="13" t="n">
        <v>8</v>
      </c>
      <c r="D47" s="79" t="n">
        <v>50</v>
      </c>
      <c r="E47" s="80"/>
    </row>
    <row r="48" customFormat="false" ht="15" hidden="false" customHeight="true" outlineLevel="0" collapsed="false">
      <c r="C48" s="13" t="n">
        <v>9</v>
      </c>
      <c r="D48" s="79" t="n">
        <v>0</v>
      </c>
      <c r="E48" s="80" t="s">
        <v>665</v>
      </c>
    </row>
    <row r="51" customFormat="false" ht="15" hidden="false" customHeight="true" outlineLevel="0" collapsed="false">
      <c r="B51" s="11" t="s">
        <v>1384</v>
      </c>
    </row>
    <row r="52" customFormat="false" ht="15" hidden="false" customHeight="true" outlineLevel="0" collapsed="false">
      <c r="B52" s="3" t="s">
        <v>1385</v>
      </c>
      <c r="C52" s="3"/>
      <c r="D52" s="3"/>
      <c r="E52" s="3"/>
      <c r="F52" s="3"/>
      <c r="G52" s="3"/>
      <c r="H52" s="3"/>
      <c r="I52" s="3"/>
      <c r="J52" s="3"/>
      <c r="K52" s="3"/>
    </row>
    <row r="53" customFormat="false" ht="15" hidden="false" customHeight="true" outlineLevel="0" collapsed="false">
      <c r="B53" s="3"/>
      <c r="C53" s="3"/>
      <c r="D53" s="3"/>
      <c r="E53" s="3"/>
      <c r="F53" s="3"/>
      <c r="G53" s="3"/>
      <c r="H53" s="3"/>
      <c r="I53" s="3"/>
      <c r="J53" s="3"/>
      <c r="K53" s="3"/>
    </row>
    <row r="54" customFormat="false" ht="15" hidden="false" customHeight="true" outlineLevel="0" collapsed="false">
      <c r="B54" s="3"/>
      <c r="C54" s="3"/>
      <c r="D54" s="3"/>
      <c r="E54" s="3"/>
      <c r="F54" s="3"/>
      <c r="G54" s="3"/>
      <c r="H54" s="3"/>
      <c r="I54" s="3"/>
      <c r="J54" s="3"/>
      <c r="K54" s="3"/>
    </row>
    <row r="55" customFormat="false" ht="15" hidden="false" customHeight="true" outlineLevel="0" collapsed="false">
      <c r="B55" s="3"/>
      <c r="C55" s="3"/>
      <c r="D55" s="3"/>
      <c r="E55" s="3"/>
      <c r="F55" s="3"/>
      <c r="G55" s="3"/>
      <c r="H55" s="3"/>
      <c r="I55" s="3"/>
      <c r="J55" s="3"/>
      <c r="K55" s="3"/>
    </row>
    <row r="56" customFormat="false" ht="15" hidden="false" customHeight="true" outlineLevel="0" collapsed="false">
      <c r="B56" s="3"/>
      <c r="C56" s="3"/>
      <c r="D56" s="3"/>
      <c r="E56" s="3"/>
      <c r="F56" s="3"/>
      <c r="G56" s="3"/>
      <c r="H56" s="3"/>
      <c r="I56" s="3"/>
      <c r="J56" s="3"/>
      <c r="K56" s="3"/>
    </row>
    <row r="57" customFormat="false" ht="15" hidden="false" customHeight="true" outlineLevel="0" collapsed="false">
      <c r="B57" s="3"/>
      <c r="C57" s="3"/>
      <c r="D57" s="3"/>
      <c r="E57" s="3"/>
      <c r="F57" s="3"/>
      <c r="G57" s="3"/>
      <c r="H57" s="3"/>
      <c r="I57" s="3"/>
      <c r="J57" s="3"/>
      <c r="K57" s="3"/>
    </row>
    <row r="58" customFormat="false" ht="15" hidden="false" customHeight="true" outlineLevel="0" collapsed="false">
      <c r="B58" s="3"/>
      <c r="C58" s="3"/>
      <c r="D58" s="3"/>
      <c r="E58" s="3"/>
      <c r="F58" s="3"/>
      <c r="G58" s="3"/>
      <c r="H58" s="3"/>
      <c r="I58" s="3"/>
      <c r="J58" s="3"/>
      <c r="K58" s="3"/>
    </row>
    <row r="60" customFormat="false" ht="15" hidden="false" customHeight="true" outlineLevel="0" collapsed="false">
      <c r="B60" s="4" t="s">
        <v>556</v>
      </c>
      <c r="C60" s="4" t="s">
        <v>573</v>
      </c>
      <c r="D60" s="4" t="s">
        <v>1059</v>
      </c>
      <c r="E60" s="4" t="s">
        <v>1060</v>
      </c>
      <c r="F60" s="4" t="s">
        <v>760</v>
      </c>
      <c r="G60" s="4" t="s">
        <v>761</v>
      </c>
    </row>
    <row r="61" customFormat="false" ht="15" hidden="false" customHeight="true" outlineLevel="0" collapsed="false">
      <c r="B61" s="110" t="s">
        <v>558</v>
      </c>
      <c r="C61" s="13" t="n">
        <f aca="false">COUNTIF($E$11:$E$34,$B61)</f>
        <v>14</v>
      </c>
      <c r="D61" s="13" t="n">
        <f aca="false">SUMPRODUCT(($E$11:$E$34=$B61)*($G$11:$G$34&gt;0))</f>
        <v>8</v>
      </c>
      <c r="E61" s="149" t="n">
        <f aca="false">IF(C61=0,"",D61/C61)</f>
        <v>0.571428571428571</v>
      </c>
      <c r="F61" s="13" t="n">
        <f aca="false">1</f>
        <v>1</v>
      </c>
      <c r="G61" s="13" t="n">
        <f aca="false">F61+C61-1</f>
        <v>14</v>
      </c>
    </row>
    <row r="62" customFormat="false" ht="15" hidden="false" customHeight="true" outlineLevel="0" collapsed="false">
      <c r="B62" s="113" t="s">
        <v>560</v>
      </c>
      <c r="C62" s="13" t="n">
        <f aca="false">COUNTIF($E$11:$E$34,$B62)</f>
        <v>0</v>
      </c>
      <c r="D62" s="13" t="n">
        <f aca="false">SUMPRODUCT(($E$11:$E$34=$B62)*($G$11:$G$34&gt;0))</f>
        <v>0</v>
      </c>
      <c r="E62" s="149" t="str">
        <f aca="false">IF(C62=0,"",D62/C62)</f>
        <v/>
      </c>
      <c r="F62" s="13" t="n">
        <f aca="false">G61+1</f>
        <v>15</v>
      </c>
      <c r="G62" s="13" t="n">
        <f aca="false">F62+C62-1</f>
        <v>14</v>
      </c>
    </row>
    <row r="63" customFormat="false" ht="15" hidden="false" customHeight="true" outlineLevel="0" collapsed="false">
      <c r="B63" s="114" t="s">
        <v>565</v>
      </c>
      <c r="C63" s="13" t="n">
        <f aca="false">COUNTIF($E$11:$E$34,$B63)</f>
        <v>10</v>
      </c>
      <c r="D63" s="13" t="n">
        <f aca="false">SUMPRODUCT(($E$11:$E$34=$B63)*($G$11:$G$34&gt;0))</f>
        <v>0</v>
      </c>
      <c r="E63" s="149" t="n">
        <f aca="false">IF(C63=0,"",D63/C63)</f>
        <v>0</v>
      </c>
      <c r="F63" s="13" t="n">
        <f aca="false">G62+1</f>
        <v>15</v>
      </c>
      <c r="G63" s="13" t="n">
        <f aca="false">F63+C63-1</f>
        <v>24</v>
      </c>
    </row>
    <row r="65" customFormat="false" ht="15" hidden="false" customHeight="true" outlineLevel="0" collapsed="false">
      <c r="B65" s="18" t="s">
        <v>1386</v>
      </c>
    </row>
  </sheetData>
  <sheetProtection sheet="true" formatCells="false" selectLockedCells="true" selectUnlockedCells="true"/>
  <mergeCells count="1">
    <mergeCell ref="B52:K58"/>
  </mergeCells>
  <dataValidations count="2">
    <dataValidation allowBlank="true" error="Pick a placement from the list." errorStyle="stop" errorTitle="Use the dropdown" operator="between" showDropDown="false" showErrorMessage="false" showInputMessage="false" sqref="F11:F34" type="list">
      <formula1>"1,2,3,4,5,6,7,8,9,10,11,12,13,14,15,16,17,18,19,20,21-22,23-24"</formula1>
      <formula2>0</formula2>
    </dataValidation>
    <dataValidation allowBlank="true" errorStyle="stop" operator="between" showDropDown="false" showErrorMessage="false" showInputMessage="false" sqref="E11:E34"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1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0" topLeftCell="D11" activePane="bottomRight" state="frozen"/>
      <selection pane="topLeft" activeCell="A1" activeCellId="0" sqref="A1"/>
      <selection pane="topRight" activeCell="D1" activeCellId="0" sqref="D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0"/>
    <col collapsed="false" customWidth="true" hidden="false" outlineLevel="0" max="3" min="3" style="1" width="26"/>
    <col collapsed="false" customWidth="true" hidden="false" outlineLevel="0" max="4" min="4" style="1" width="7"/>
    <col collapsed="false" customWidth="true" hidden="false" outlineLevel="0" max="5" min="5" style="1" width="13"/>
    <col collapsed="false" customWidth="true" hidden="false" outlineLevel="0" max="6" min="6" style="1" width="14"/>
    <col collapsed="false" customWidth="true" hidden="false" outlineLevel="0" max="7" min="7" style="1" width="11"/>
    <col collapsed="false" customWidth="true" hidden="false" outlineLevel="0" max="8" min="8" style="1" width="12"/>
    <col collapsed="false" customWidth="true" hidden="false" outlineLevel="0" max="9" min="9" style="1" width="15"/>
    <col collapsed="false" customWidth="true" hidden="false" outlineLevel="0" max="10" min="10" style="1" width="10"/>
    <col collapsed="false" customWidth="true" hidden="false" outlineLevel="0" max="11" min="11" style="1" width="12"/>
    <col collapsed="false" customWidth="true" hidden="false" outlineLevel="0" max="12" min="12" style="1" width="30"/>
  </cols>
  <sheetData>
    <row r="2" customFormat="false" ht="18" hidden="false" customHeight="true" outlineLevel="0" collapsed="false">
      <c r="B2" s="2" t="s">
        <v>1387</v>
      </c>
    </row>
    <row r="3" customFormat="false" ht="15" hidden="false" customHeight="true" outlineLevel="0" collapsed="false">
      <c r="B3" s="18" t="s">
        <v>1388</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1389</v>
      </c>
      <c r="D6" s="28" t="s">
        <v>1390</v>
      </c>
      <c r="F6" s="28" t="s">
        <v>1039</v>
      </c>
      <c r="H6" s="28" t="s">
        <v>1391</v>
      </c>
      <c r="J6" s="28" t="s">
        <v>1392</v>
      </c>
      <c r="L6" s="28" t="s">
        <v>1393</v>
      </c>
    </row>
    <row r="8" customFormat="false" ht="15" hidden="false" customHeight="true" outlineLevel="0" collapsed="false">
      <c r="B8" s="11" t="s">
        <v>416</v>
      </c>
    </row>
    <row r="9" customFormat="false" ht="15" hidden="false" customHeight="true" outlineLevel="0" collapsed="false">
      <c r="B9" s="18" t="s">
        <v>1394</v>
      </c>
    </row>
    <row r="10" customFormat="false" ht="34.5" hidden="false" customHeight="true" outlineLevel="0" collapsed="false">
      <c r="B10" s="4" t="s">
        <v>488</v>
      </c>
      <c r="C10" s="4" t="s">
        <v>426</v>
      </c>
      <c r="D10" s="4" t="s">
        <v>541</v>
      </c>
      <c r="E10" s="4" t="s">
        <v>1395</v>
      </c>
      <c r="F10" s="4" t="s">
        <v>1396</v>
      </c>
      <c r="G10" s="4" t="s">
        <v>421</v>
      </c>
      <c r="H10" s="4" t="s">
        <v>422</v>
      </c>
      <c r="I10" s="4" t="s">
        <v>423</v>
      </c>
      <c r="J10" s="4" t="s">
        <v>424</v>
      </c>
      <c r="K10" s="4" t="s">
        <v>425</v>
      </c>
      <c r="L10" s="4" t="s">
        <v>41</v>
      </c>
      <c r="N10" s="4" t="s">
        <v>426</v>
      </c>
    </row>
    <row r="11" customFormat="false" ht="15" hidden="false" customHeight="true" outlineLevel="0" collapsed="false">
      <c r="B11" s="57" t="s">
        <v>1397</v>
      </c>
      <c r="C11" s="59" t="s">
        <v>114</v>
      </c>
      <c r="D11" s="60" t="n">
        <v>1</v>
      </c>
      <c r="E11" s="59" t="n">
        <v>1</v>
      </c>
      <c r="F11" s="59" t="n">
        <v>1</v>
      </c>
      <c r="G11" s="60" t="s">
        <v>432</v>
      </c>
      <c r="H11" s="61" t="n">
        <f aca="false">IF($G11="","",IFERROR(LOOKUP(VALUE(LEFT($G11&amp;"",FIND("-",$G11&amp;"-")-1)),$C$54:$C$59,$D$54:$D$59),""))</f>
        <v>200</v>
      </c>
      <c r="I11" s="62" t="n">
        <v>200</v>
      </c>
      <c r="J11" s="63" t="str">
        <f aca="false">IF($I11="","n/a",IF($H11=$I11,"ok","MISMATCH"))</f>
        <v>ok</v>
      </c>
      <c r="K11" s="142" t="n">
        <v>40000</v>
      </c>
      <c r="L11" s="129"/>
      <c r="N11" s="38" t="s">
        <v>114</v>
      </c>
    </row>
    <row r="12" customFormat="false" ht="15" hidden="false" customHeight="true" outlineLevel="0" collapsed="false">
      <c r="B12" s="66" t="s">
        <v>1398</v>
      </c>
      <c r="C12" s="68" t="s">
        <v>141</v>
      </c>
      <c r="D12" s="69" t="n">
        <v>2</v>
      </c>
      <c r="E12" s="68" t="n">
        <v>2</v>
      </c>
      <c r="F12" s="68" t="n">
        <v>3</v>
      </c>
      <c r="G12" s="69" t="s">
        <v>916</v>
      </c>
      <c r="H12" s="70" t="n">
        <f aca="false">IF($G12="","",IFERROR(LOOKUP(VALUE(LEFT($G12&amp;"",FIND("-",$G12&amp;"-")-1)),$C$54:$C$59,$D$54:$D$59),""))</f>
        <v>0</v>
      </c>
      <c r="I12" s="71"/>
      <c r="J12" s="72" t="str">
        <f aca="false">IF($I12="","n/a",IF($H12=$I12,"ok","MISMATCH"))</f>
        <v>n/a</v>
      </c>
      <c r="K12" s="144" t="n">
        <v>12500</v>
      </c>
      <c r="L12" s="74" t="s">
        <v>1399</v>
      </c>
      <c r="N12" s="38" t="s">
        <v>141</v>
      </c>
    </row>
    <row r="13" customFormat="false" ht="15" hidden="false" customHeight="true" outlineLevel="0" collapsed="false">
      <c r="B13" s="57" t="s">
        <v>1400</v>
      </c>
      <c r="C13" s="59" t="s">
        <v>1401</v>
      </c>
      <c r="D13" s="60" t="n">
        <v>3</v>
      </c>
      <c r="E13" s="59" t="n">
        <v>3</v>
      </c>
      <c r="F13" s="59" t="n">
        <v>2</v>
      </c>
      <c r="G13" s="60" t="s">
        <v>432</v>
      </c>
      <c r="H13" s="61" t="n">
        <f aca="false">IF($G13="","",IFERROR(LOOKUP(VALUE(LEFT($G13&amp;"",FIND("-",$G13&amp;"-")-1)),$C$54:$C$59,$D$54:$D$59),""))</f>
        <v>200</v>
      </c>
      <c r="I13" s="62" t="n">
        <v>200</v>
      </c>
      <c r="J13" s="63" t="str">
        <f aca="false">IF($I13="","n/a",IF($H13=$I13,"ok","MISMATCH"))</f>
        <v>ok</v>
      </c>
      <c r="K13" s="142" t="n">
        <v>40000</v>
      </c>
      <c r="L13" s="129"/>
      <c r="N13" s="38" t="s">
        <v>1401</v>
      </c>
    </row>
    <row r="14" customFormat="false" ht="15" hidden="false" customHeight="true" outlineLevel="0" collapsed="false">
      <c r="B14" s="66" t="s">
        <v>1402</v>
      </c>
      <c r="C14" s="68" t="s">
        <v>141</v>
      </c>
      <c r="D14" s="69" t="n">
        <v>4</v>
      </c>
      <c r="E14" s="68" t="n">
        <v>4</v>
      </c>
      <c r="F14" s="68" t="n">
        <v>6</v>
      </c>
      <c r="G14" s="69" t="s">
        <v>433</v>
      </c>
      <c r="H14" s="70" t="n">
        <f aca="false">IF($G14="","",IFERROR(LOOKUP(VALUE(LEFT($G14&amp;"",FIND("-",$G14&amp;"-")-1)),$C$54:$C$59,$D$54:$D$59),""))</f>
        <v>0</v>
      </c>
      <c r="I14" s="71"/>
      <c r="J14" s="72" t="str">
        <f aca="false">IF($I14="","n/a",IF($H14=$I14,"ok","MISMATCH"))</f>
        <v>n/a</v>
      </c>
      <c r="K14" s="144" t="n">
        <v>15000</v>
      </c>
      <c r="L14" s="74"/>
      <c r="N14" s="38" t="s">
        <v>141</v>
      </c>
    </row>
    <row r="15" customFormat="false" ht="15" hidden="false" customHeight="true" outlineLevel="0" collapsed="false">
      <c r="B15" s="66" t="s">
        <v>1403</v>
      </c>
      <c r="C15" s="68" t="s">
        <v>141</v>
      </c>
      <c r="D15" s="69" t="n">
        <v>5</v>
      </c>
      <c r="E15" s="68" t="n">
        <v>5</v>
      </c>
      <c r="F15" s="68" t="n">
        <v>5</v>
      </c>
      <c r="G15" s="69" t="s">
        <v>433</v>
      </c>
      <c r="H15" s="70" t="n">
        <f aca="false">IF($G15="","",IFERROR(LOOKUP(VALUE(LEFT($G15&amp;"",FIND("-",$G15&amp;"-")-1)),$C$54:$C$59,$D$54:$D$59),""))</f>
        <v>0</v>
      </c>
      <c r="I15" s="71" t="n">
        <v>0</v>
      </c>
      <c r="J15" s="72" t="str">
        <f aca="false">IF($I15="","n/a",IF($H15=$I15,"ok","MISMATCH"))</f>
        <v>ok</v>
      </c>
      <c r="K15" s="144" t="n">
        <v>15000</v>
      </c>
      <c r="L15" s="74"/>
      <c r="N15" s="38" t="s">
        <v>141</v>
      </c>
    </row>
    <row r="16" customFormat="false" ht="15" hidden="false" customHeight="true" outlineLevel="0" collapsed="false">
      <c r="B16" s="66" t="s">
        <v>1404</v>
      </c>
      <c r="C16" s="68" t="s">
        <v>141</v>
      </c>
      <c r="D16" s="69" t="n">
        <v>6</v>
      </c>
      <c r="E16" s="68" t="n">
        <v>6</v>
      </c>
      <c r="F16" s="68" t="n">
        <v>9</v>
      </c>
      <c r="G16" s="69" t="s">
        <v>916</v>
      </c>
      <c r="H16" s="70" t="n">
        <f aca="false">IF($G16="","",IFERROR(LOOKUP(VALUE(LEFT($G16&amp;"",FIND("-",$G16&amp;"-")-1)),$C$54:$C$59,$D$54:$D$59),""))</f>
        <v>0</v>
      </c>
      <c r="I16" s="71"/>
      <c r="J16" s="72" t="str">
        <f aca="false">IF($I16="","n/a",IF($H16=$I16,"ok","MISMATCH"))</f>
        <v>n/a</v>
      </c>
      <c r="K16" s="144" t="n">
        <v>12500</v>
      </c>
      <c r="L16" s="74" t="s">
        <v>1405</v>
      </c>
      <c r="N16" s="38" t="s">
        <v>141</v>
      </c>
    </row>
    <row r="17" customFormat="false" ht="15" hidden="false" customHeight="true" outlineLevel="0" collapsed="false">
      <c r="B17" s="66" t="s">
        <v>1406</v>
      </c>
      <c r="C17" s="68" t="s">
        <v>271</v>
      </c>
      <c r="D17" s="69" t="n">
        <v>7</v>
      </c>
      <c r="E17" s="68" t="n">
        <v>7</v>
      </c>
      <c r="F17" s="68" t="n">
        <v>8</v>
      </c>
      <c r="G17" s="69" t="s">
        <v>433</v>
      </c>
      <c r="H17" s="70" t="n">
        <f aca="false">IF($G17="","",IFERROR(LOOKUP(VALUE(LEFT($G17&amp;"",FIND("-",$G17&amp;"-")-1)),$C$54:$C$59,$D$54:$D$59),""))</f>
        <v>0</v>
      </c>
      <c r="I17" s="71"/>
      <c r="J17" s="72" t="str">
        <f aca="false">IF($I17="","n/a",IF($H17=$I17,"ok","MISMATCH"))</f>
        <v>n/a</v>
      </c>
      <c r="K17" s="144" t="n">
        <v>15000</v>
      </c>
      <c r="L17" s="74"/>
      <c r="N17" s="38" t="s">
        <v>271</v>
      </c>
    </row>
    <row r="18" customFormat="false" ht="15" hidden="false" customHeight="true" outlineLevel="0" collapsed="false">
      <c r="B18" s="66" t="s">
        <v>1407</v>
      </c>
      <c r="C18" s="68" t="s">
        <v>376</v>
      </c>
      <c r="D18" s="69" t="n">
        <v>8</v>
      </c>
      <c r="E18" s="68" t="n">
        <v>8</v>
      </c>
      <c r="F18" s="68" t="n">
        <v>13</v>
      </c>
      <c r="G18" s="69" t="s">
        <v>646</v>
      </c>
      <c r="H18" s="70" t="n">
        <f aca="false">IF($G18="","",IFERROR(LOOKUP(VALUE(LEFT($G18&amp;"",FIND("-",$G18&amp;"-")-1)),$C$54:$C$59,$D$54:$D$59),""))</f>
        <v>0</v>
      </c>
      <c r="I18" s="71"/>
      <c r="J18" s="72" t="str">
        <f aca="false">IF($I18="","n/a",IF($H18=$I18,"ok","MISMATCH"))</f>
        <v>n/a</v>
      </c>
      <c r="K18" s="144" t="n">
        <v>10000</v>
      </c>
      <c r="L18" s="74" t="s">
        <v>1408</v>
      </c>
      <c r="N18" s="38" t="s">
        <v>376</v>
      </c>
    </row>
    <row r="19" customFormat="false" ht="15" hidden="false" customHeight="true" outlineLevel="0" collapsed="false">
      <c r="B19" s="66" t="s">
        <v>1409</v>
      </c>
      <c r="C19" s="68" t="s">
        <v>1410</v>
      </c>
      <c r="D19" s="69" t="n">
        <v>9</v>
      </c>
      <c r="E19" s="68" t="n">
        <v>9</v>
      </c>
      <c r="F19" s="68" t="n">
        <v>16</v>
      </c>
      <c r="G19" s="69" t="s">
        <v>916</v>
      </c>
      <c r="H19" s="70" t="n">
        <f aca="false">IF($G19="","",IFERROR(LOOKUP(VALUE(LEFT($G19&amp;"",FIND("-",$G19&amp;"-")-1)),$C$54:$C$59,$D$54:$D$59),""))</f>
        <v>0</v>
      </c>
      <c r="I19" s="71"/>
      <c r="J19" s="72" t="str">
        <f aca="false">IF($I19="","n/a",IF($H19=$I19,"ok","MISMATCH"))</f>
        <v>n/a</v>
      </c>
      <c r="K19" s="144" t="n">
        <v>12500</v>
      </c>
      <c r="L19" s="74"/>
      <c r="N19" s="38" t="s">
        <v>1410</v>
      </c>
    </row>
    <row r="20" customFormat="false" ht="15" hidden="false" customHeight="true" outlineLevel="0" collapsed="false">
      <c r="B20" s="48" t="s">
        <v>1411</v>
      </c>
      <c r="C20" s="50" t="s">
        <v>376</v>
      </c>
      <c r="D20" s="51" t="n">
        <v>10</v>
      </c>
      <c r="E20" s="50" t="n">
        <v>11</v>
      </c>
      <c r="F20" s="50" t="n">
        <v>7</v>
      </c>
      <c r="G20" s="51" t="s">
        <v>430</v>
      </c>
      <c r="H20" s="52" t="n">
        <f aca="false">IF($G20="","",IFERROR(LOOKUP(VALUE(LEFT($G20&amp;"",FIND("-",$G20&amp;"-")-1)),$C$54:$C$59,$D$54:$D$59),""))</f>
        <v>500</v>
      </c>
      <c r="I20" s="53" t="n">
        <v>500</v>
      </c>
      <c r="J20" s="54" t="str">
        <f aca="false">IF($I20="","n/a",IF($H20=$I20,"ok","MISMATCH"))</f>
        <v>ok</v>
      </c>
      <c r="K20" s="140" t="n">
        <v>75000</v>
      </c>
      <c r="L20" s="135"/>
      <c r="N20" s="38" t="s">
        <v>376</v>
      </c>
    </row>
    <row r="21" customFormat="false" ht="15" hidden="false" customHeight="true" outlineLevel="0" collapsed="false">
      <c r="B21" s="57" t="s">
        <v>1412</v>
      </c>
      <c r="C21" s="59" t="s">
        <v>152</v>
      </c>
      <c r="D21" s="60" t="n">
        <v>11</v>
      </c>
      <c r="E21" s="59" t="n">
        <v>12</v>
      </c>
      <c r="F21" s="59" t="n">
        <v>11</v>
      </c>
      <c r="G21" s="60" t="s">
        <v>432</v>
      </c>
      <c r="H21" s="61" t="n">
        <f aca="false">IF($G21="","",IFERROR(LOOKUP(VALUE(LEFT($G21&amp;"",FIND("-",$G21&amp;"-")-1)),$C$54:$C$59,$D$54:$D$59),""))</f>
        <v>200</v>
      </c>
      <c r="I21" s="62" t="n">
        <v>200</v>
      </c>
      <c r="J21" s="63" t="str">
        <f aca="false">IF($I21="","n/a",IF($H21=$I21,"ok","MISMATCH"))</f>
        <v>ok</v>
      </c>
      <c r="K21" s="142" t="n">
        <v>40000</v>
      </c>
      <c r="L21" s="129"/>
      <c r="N21" s="38" t="s">
        <v>152</v>
      </c>
    </row>
    <row r="22" customFormat="false" ht="15" hidden="false" customHeight="true" outlineLevel="0" collapsed="false">
      <c r="B22" s="66" t="s">
        <v>1413</v>
      </c>
      <c r="C22" s="68" t="s">
        <v>119</v>
      </c>
      <c r="D22" s="69" t="n">
        <v>12</v>
      </c>
      <c r="E22" s="68" t="n">
        <v>17</v>
      </c>
      <c r="F22" s="68" t="n">
        <v>19</v>
      </c>
      <c r="G22" s="69" t="s">
        <v>646</v>
      </c>
      <c r="H22" s="70" t="n">
        <f aca="false">IF($G22="","",IFERROR(LOOKUP(VALUE(LEFT($G22&amp;"",FIND("-",$G22&amp;"-")-1)),$C$54:$C$59,$D$54:$D$59),""))</f>
        <v>0</v>
      </c>
      <c r="I22" s="71"/>
      <c r="J22" s="72" t="str">
        <f aca="false">IF($I22="","n/a",IF($H22=$I22,"ok","MISMATCH"))</f>
        <v>n/a</v>
      </c>
      <c r="K22" s="144" t="n">
        <v>10000</v>
      </c>
      <c r="L22" s="74" t="s">
        <v>1414</v>
      </c>
      <c r="N22" s="38" t="s">
        <v>119</v>
      </c>
    </row>
    <row r="23" customFormat="false" ht="15" hidden="false" customHeight="true" outlineLevel="0" collapsed="false">
      <c r="B23" s="57" t="s">
        <v>1415</v>
      </c>
      <c r="C23" s="59" t="s">
        <v>1416</v>
      </c>
      <c r="D23" s="60" t="n">
        <v>13</v>
      </c>
      <c r="E23" s="59" t="n">
        <v>18</v>
      </c>
      <c r="F23" s="59" t="n">
        <v>10</v>
      </c>
      <c r="G23" s="60" t="s">
        <v>431</v>
      </c>
      <c r="H23" s="61" t="n">
        <f aca="false">IF($G23="","",IFERROR(LOOKUP(VALUE(LEFT($G23&amp;"",FIND("-",$G23&amp;"-")-1)),$C$54:$C$59,$D$54:$D$59),""))</f>
        <v>300</v>
      </c>
      <c r="I23" s="62" t="n">
        <v>300</v>
      </c>
      <c r="J23" s="63" t="str">
        <f aca="false">IF($I23="","n/a",IF($H23=$I23,"ok","MISMATCH"))</f>
        <v>ok</v>
      </c>
      <c r="K23" s="142" t="n">
        <v>70000</v>
      </c>
      <c r="L23" s="129"/>
      <c r="N23" s="38" t="s">
        <v>1416</v>
      </c>
    </row>
    <row r="24" customFormat="false" ht="15" hidden="false" customHeight="true" outlineLevel="0" collapsed="false">
      <c r="B24" s="66" t="s">
        <v>1417</v>
      </c>
      <c r="C24" s="68" t="s">
        <v>1418</v>
      </c>
      <c r="D24" s="69" t="n">
        <v>14</v>
      </c>
      <c r="E24" s="68" t="n">
        <v>20</v>
      </c>
      <c r="F24" s="68" t="n">
        <v>15</v>
      </c>
      <c r="G24" s="69" t="s">
        <v>433</v>
      </c>
      <c r="H24" s="70" t="n">
        <f aca="false">IF($G24="","",IFERROR(LOOKUP(VALUE(LEFT($G24&amp;"",FIND("-",$G24&amp;"-")-1)),$C$54:$C$59,$D$54:$D$59),""))</f>
        <v>0</v>
      </c>
      <c r="I24" s="71"/>
      <c r="J24" s="72" t="str">
        <f aca="false">IF($I24="","n/a",IF($H24=$I24,"ok","MISMATCH"))</f>
        <v>n/a</v>
      </c>
      <c r="K24" s="144" t="n">
        <v>15000</v>
      </c>
      <c r="L24" s="74"/>
      <c r="N24" s="38" t="s">
        <v>1418</v>
      </c>
    </row>
    <row r="25" customFormat="false" ht="15" hidden="false" customHeight="true" outlineLevel="0" collapsed="false">
      <c r="B25" s="66" t="s">
        <v>1419</v>
      </c>
      <c r="C25" s="68" t="s">
        <v>1420</v>
      </c>
      <c r="D25" s="69" t="n">
        <v>15</v>
      </c>
      <c r="E25" s="68" t="n">
        <v>22</v>
      </c>
      <c r="F25" s="68" t="n">
        <v>25</v>
      </c>
      <c r="G25" s="69" t="s">
        <v>916</v>
      </c>
      <c r="H25" s="70" t="n">
        <f aca="false">IF($G25="","",IFERROR(LOOKUP(VALUE(LEFT($G25&amp;"",FIND("-",$G25&amp;"-")-1)),$C$54:$C$59,$D$54:$D$59),""))</f>
        <v>0</v>
      </c>
      <c r="I25" s="71"/>
      <c r="J25" s="72" t="str">
        <f aca="false">IF($I25="","n/a",IF($H25=$I25,"ok","MISMATCH"))</f>
        <v>n/a</v>
      </c>
      <c r="K25" s="144" t="n">
        <v>12500</v>
      </c>
      <c r="L25" s="74"/>
      <c r="N25" s="38" t="s">
        <v>1420</v>
      </c>
    </row>
    <row r="26" customFormat="false" ht="15" hidden="false" customHeight="true" outlineLevel="0" collapsed="false">
      <c r="B26" s="66" t="s">
        <v>1421</v>
      </c>
      <c r="C26" s="68" t="s">
        <v>1422</v>
      </c>
      <c r="D26" s="69" t="n">
        <v>16</v>
      </c>
      <c r="E26" s="68" t="n">
        <v>23</v>
      </c>
      <c r="F26" s="68" t="n">
        <v>29</v>
      </c>
      <c r="G26" s="69" t="s">
        <v>646</v>
      </c>
      <c r="H26" s="70" t="n">
        <f aca="false">IF($G26="","",IFERROR(LOOKUP(VALUE(LEFT($G26&amp;"",FIND("-",$G26&amp;"-")-1)),$C$54:$C$59,$D$54:$D$59),""))</f>
        <v>0</v>
      </c>
      <c r="I26" s="71"/>
      <c r="J26" s="72" t="str">
        <f aca="false">IF($I26="","n/a",IF($H26=$I26,"ok","MISMATCH"))</f>
        <v>n/a</v>
      </c>
      <c r="K26" s="144" t="n">
        <v>10000</v>
      </c>
      <c r="L26" s="74"/>
      <c r="N26" s="38" t="s">
        <v>1422</v>
      </c>
    </row>
    <row r="27" customFormat="false" ht="15" hidden="false" customHeight="true" outlineLevel="0" collapsed="false">
      <c r="B27" s="66" t="s">
        <v>1423</v>
      </c>
      <c r="C27" s="68" t="s">
        <v>253</v>
      </c>
      <c r="D27" s="69" t="n">
        <v>17</v>
      </c>
      <c r="E27" s="68" t="n">
        <v>24</v>
      </c>
      <c r="F27" s="68" t="n">
        <v>30</v>
      </c>
      <c r="G27" s="69" t="s">
        <v>646</v>
      </c>
      <c r="H27" s="70" t="n">
        <f aca="false">IF($G27="","",IFERROR(LOOKUP(VALUE(LEFT($G27&amp;"",FIND("-",$G27&amp;"-")-1)),$C$54:$C$59,$D$54:$D$59),""))</f>
        <v>0</v>
      </c>
      <c r="I27" s="71"/>
      <c r="J27" s="72" t="str">
        <f aca="false">IF($I27="","n/a",IF($H27=$I27,"ok","MISMATCH"))</f>
        <v>n/a</v>
      </c>
      <c r="K27" s="144" t="n">
        <v>10000</v>
      </c>
      <c r="L27" s="74"/>
      <c r="N27" s="38" t="s">
        <v>253</v>
      </c>
    </row>
    <row r="28" customFormat="false" ht="15" hidden="false" customHeight="true" outlineLevel="0" collapsed="false">
      <c r="B28" s="66" t="s">
        <v>1424</v>
      </c>
      <c r="C28" s="68" t="s">
        <v>1425</v>
      </c>
      <c r="D28" s="69" t="n">
        <v>18</v>
      </c>
      <c r="E28" s="68" t="n">
        <v>25</v>
      </c>
      <c r="F28" s="68" t="n">
        <v>24</v>
      </c>
      <c r="G28" s="69" t="s">
        <v>646</v>
      </c>
      <c r="H28" s="70" t="n">
        <f aca="false">IF($G28="","",IFERROR(LOOKUP(VALUE(LEFT($G28&amp;"",FIND("-",$G28&amp;"-")-1)),$C$54:$C$59,$D$54:$D$59),""))</f>
        <v>0</v>
      </c>
      <c r="I28" s="71"/>
      <c r="J28" s="72" t="str">
        <f aca="false">IF($I28="","n/a",IF($H28=$I28,"ok","MISMATCH"))</f>
        <v>n/a</v>
      </c>
      <c r="K28" s="144" t="n">
        <v>10000</v>
      </c>
      <c r="L28" s="74"/>
      <c r="N28" s="38" t="s">
        <v>1425</v>
      </c>
    </row>
    <row r="29" customFormat="false" ht="15" hidden="false" customHeight="true" outlineLevel="0" collapsed="false">
      <c r="B29" s="57" t="s">
        <v>1426</v>
      </c>
      <c r="C29" s="59" t="s">
        <v>1420</v>
      </c>
      <c r="D29" s="60" t="n">
        <v>19</v>
      </c>
      <c r="E29" s="59" t="n">
        <v>26</v>
      </c>
      <c r="F29" s="59" t="n">
        <v>17</v>
      </c>
      <c r="G29" s="60" t="s">
        <v>432</v>
      </c>
      <c r="H29" s="61" t="n">
        <f aca="false">IF($G29="","",IFERROR(LOOKUP(VALUE(LEFT($G29&amp;"",FIND("-",$G29&amp;"-")-1)),$C$54:$C$59,$D$54:$D$59),""))</f>
        <v>200</v>
      </c>
      <c r="I29" s="62"/>
      <c r="J29" s="63" t="str">
        <f aca="false">IF($I29="","n/a",IF($H29=$I29,"ok","MISMATCH"))</f>
        <v>n/a</v>
      </c>
      <c r="K29" s="142" t="n">
        <v>40000</v>
      </c>
      <c r="L29" s="129" t="s">
        <v>1427</v>
      </c>
      <c r="N29" s="38" t="s">
        <v>1420</v>
      </c>
    </row>
    <row r="30" customFormat="false" ht="15" hidden="false" customHeight="true" outlineLevel="0" collapsed="false">
      <c r="B30" s="66" t="s">
        <v>1428</v>
      </c>
      <c r="C30" s="68" t="s">
        <v>376</v>
      </c>
      <c r="D30" s="69" t="n">
        <v>20</v>
      </c>
      <c r="E30" s="68" t="n">
        <v>28</v>
      </c>
      <c r="F30" s="68" t="n">
        <v>20</v>
      </c>
      <c r="G30" s="69" t="s">
        <v>433</v>
      </c>
      <c r="H30" s="70" t="n">
        <f aca="false">IF($G30="","",IFERROR(LOOKUP(VALUE(LEFT($G30&amp;"",FIND("-",$G30&amp;"-")-1)),$C$54:$C$59,$D$54:$D$59),""))</f>
        <v>0</v>
      </c>
      <c r="I30" s="71"/>
      <c r="J30" s="72" t="str">
        <f aca="false">IF($I30="","n/a",IF($H30=$I30,"ok","MISMATCH"))</f>
        <v>n/a</v>
      </c>
      <c r="K30" s="144" t="n">
        <v>15000</v>
      </c>
      <c r="L30" s="74" t="s">
        <v>1429</v>
      </c>
      <c r="N30" s="38" t="s">
        <v>376</v>
      </c>
    </row>
    <row r="31" customFormat="false" ht="15" hidden="false" customHeight="true" outlineLevel="0" collapsed="false">
      <c r="B31" s="66" t="s">
        <v>1430</v>
      </c>
      <c r="C31" s="68" t="s">
        <v>1431</v>
      </c>
      <c r="D31" s="69" t="n">
        <v>21</v>
      </c>
      <c r="E31" s="68" t="n">
        <v>29</v>
      </c>
      <c r="F31" s="68" t="n">
        <v>28</v>
      </c>
      <c r="G31" s="69" t="s">
        <v>916</v>
      </c>
      <c r="H31" s="70" t="n">
        <f aca="false">IF($G31="","",IFERROR(LOOKUP(VALUE(LEFT($G31&amp;"",FIND("-",$G31&amp;"-")-1)),$C$54:$C$59,$D$54:$D$59),""))</f>
        <v>0</v>
      </c>
      <c r="I31" s="71"/>
      <c r="J31" s="72" t="str">
        <f aca="false">IF($I31="","n/a",IF($H31=$I31,"ok","MISMATCH"))</f>
        <v>n/a</v>
      </c>
      <c r="K31" s="144" t="n">
        <v>12500</v>
      </c>
      <c r="L31" s="74"/>
      <c r="N31" s="38" t="s">
        <v>1431</v>
      </c>
    </row>
    <row r="32" customFormat="false" ht="15" hidden="false" customHeight="true" outlineLevel="0" collapsed="false">
      <c r="B32" s="29" t="s">
        <v>1432</v>
      </c>
      <c r="C32" s="31" t="s">
        <v>1433</v>
      </c>
      <c r="D32" s="32" t="n">
        <v>22</v>
      </c>
      <c r="E32" s="31" t="n">
        <v>30</v>
      </c>
      <c r="F32" s="31" t="n">
        <v>4</v>
      </c>
      <c r="G32" s="32" t="s">
        <v>427</v>
      </c>
      <c r="H32" s="33" t="n">
        <f aca="false">IF($G32="","",IFERROR(LOOKUP(VALUE(LEFT($G32&amp;"",FIND("-",$G32&amp;"-")-1)),$C$54:$C$59,$D$54:$D$59),""))</f>
        <v>1000</v>
      </c>
      <c r="I32" s="34"/>
      <c r="J32" s="35" t="str">
        <f aca="false">IF($I32="","n/a",IF($H32=$I32,"ok","MISMATCH"))</f>
        <v>n/a</v>
      </c>
      <c r="K32" s="137" t="n">
        <v>250000</v>
      </c>
      <c r="L32" s="132" t="s">
        <v>1434</v>
      </c>
      <c r="N32" s="38" t="s">
        <v>1433</v>
      </c>
    </row>
    <row r="33" customFormat="false" ht="15" hidden="false" customHeight="true" outlineLevel="0" collapsed="false">
      <c r="B33" s="66" t="s">
        <v>1435</v>
      </c>
      <c r="C33" s="68" t="s">
        <v>1436</v>
      </c>
      <c r="D33" s="69" t="n">
        <v>23</v>
      </c>
      <c r="E33" s="68" t="n">
        <v>35</v>
      </c>
      <c r="F33" s="68" t="n">
        <v>26</v>
      </c>
      <c r="G33" s="69" t="s">
        <v>916</v>
      </c>
      <c r="H33" s="70" t="n">
        <f aca="false">IF($G33="","",IFERROR(LOOKUP(VALUE(LEFT($G33&amp;"",FIND("-",$G33&amp;"-")-1)),$C$54:$C$59,$D$54:$D$59),""))</f>
        <v>0</v>
      </c>
      <c r="I33" s="71"/>
      <c r="J33" s="72" t="str">
        <f aca="false">IF($I33="","n/a",IF($H33=$I33,"ok","MISMATCH"))</f>
        <v>n/a</v>
      </c>
      <c r="K33" s="144" t="n">
        <v>12500</v>
      </c>
      <c r="L33" s="74"/>
      <c r="N33" s="38" t="s">
        <v>1436</v>
      </c>
    </row>
    <row r="34" customFormat="false" ht="15" hidden="false" customHeight="true" outlineLevel="0" collapsed="false">
      <c r="B34" s="39" t="s">
        <v>1437</v>
      </c>
      <c r="C34" s="41" t="s">
        <v>1420</v>
      </c>
      <c r="D34" s="42" t="n">
        <v>24</v>
      </c>
      <c r="E34" s="41" t="n">
        <v>36</v>
      </c>
      <c r="F34" s="41" t="n">
        <v>12</v>
      </c>
      <c r="G34" s="42" t="s">
        <v>428</v>
      </c>
      <c r="H34" s="43" t="n">
        <f aca="false">IF($G34="","",IFERROR(LOOKUP(VALUE(LEFT($G34&amp;"",FIND("-",$G34&amp;"-")-1)),$C$54:$C$59,$D$54:$D$59),""))</f>
        <v>750</v>
      </c>
      <c r="I34" s="44" t="n">
        <v>750</v>
      </c>
      <c r="J34" s="45" t="str">
        <f aca="false">IF($I34="","n/a",IF($H34=$I34,"ok","MISMATCH"))</f>
        <v>ok</v>
      </c>
      <c r="K34" s="139" t="n">
        <v>150000</v>
      </c>
      <c r="L34" s="133" t="s">
        <v>1438</v>
      </c>
      <c r="N34" s="38" t="s">
        <v>1420</v>
      </c>
    </row>
    <row r="35" customFormat="false" ht="15" hidden="false" customHeight="true" outlineLevel="0" collapsed="false">
      <c r="B35" s="66" t="s">
        <v>1439</v>
      </c>
      <c r="C35" s="68" t="s">
        <v>1440</v>
      </c>
      <c r="D35" s="69" t="n">
        <v>25</v>
      </c>
      <c r="E35" s="68" t="n">
        <v>40</v>
      </c>
      <c r="F35" s="68" t="n">
        <v>31</v>
      </c>
      <c r="G35" s="69" t="s">
        <v>433</v>
      </c>
      <c r="H35" s="70" t="n">
        <f aca="false">IF($G35="","",IFERROR(LOOKUP(VALUE(LEFT($G35&amp;"",FIND("-",$G35&amp;"-")-1)),$C$54:$C$59,$D$54:$D$59),""))</f>
        <v>0</v>
      </c>
      <c r="I35" s="71"/>
      <c r="J35" s="72" t="str">
        <f aca="false">IF($I35="","n/a",IF($H35=$I35,"ok","MISMATCH"))</f>
        <v>n/a</v>
      </c>
      <c r="K35" s="144" t="n">
        <v>15000</v>
      </c>
      <c r="L35" s="74" t="s">
        <v>1441</v>
      </c>
      <c r="N35" s="38" t="s">
        <v>1440</v>
      </c>
    </row>
    <row r="36" customFormat="false" ht="15" hidden="false" customHeight="true" outlineLevel="0" collapsed="false">
      <c r="B36" s="66" t="s">
        <v>1442</v>
      </c>
      <c r="C36" s="68" t="s">
        <v>114</v>
      </c>
      <c r="D36" s="69" t="n">
        <v>26</v>
      </c>
      <c r="E36" s="68" t="n">
        <v>42</v>
      </c>
      <c r="F36" s="68" t="n">
        <v>34</v>
      </c>
      <c r="G36" s="69" t="s">
        <v>433</v>
      </c>
      <c r="H36" s="70" t="n">
        <f aca="false">IF($G36="","",IFERROR(LOOKUP(VALUE(LEFT($G36&amp;"",FIND("-",$G36&amp;"-")-1)),$C$54:$C$59,$D$54:$D$59),""))</f>
        <v>0</v>
      </c>
      <c r="I36" s="71"/>
      <c r="J36" s="72" t="str">
        <f aca="false">IF($I36="","n/a",IF($H36=$I36,"ok","MISMATCH"))</f>
        <v>n/a</v>
      </c>
      <c r="K36" s="144" t="n">
        <v>15000</v>
      </c>
      <c r="L36" s="74" t="s">
        <v>1443</v>
      </c>
      <c r="N36" s="38" t="s">
        <v>114</v>
      </c>
    </row>
    <row r="37" customFormat="false" ht="15" hidden="false" customHeight="true" outlineLevel="0" collapsed="false">
      <c r="B37" s="66" t="s">
        <v>1444</v>
      </c>
      <c r="C37" s="68" t="s">
        <v>1431</v>
      </c>
      <c r="D37" s="69" t="n">
        <v>27</v>
      </c>
      <c r="E37" s="68" t="n">
        <v>46</v>
      </c>
      <c r="F37" s="68" t="n">
        <v>40</v>
      </c>
      <c r="G37" s="69" t="s">
        <v>646</v>
      </c>
      <c r="H37" s="70" t="n">
        <f aca="false">IF($G37="","",IFERROR(LOOKUP(VALUE(LEFT($G37&amp;"",FIND("-",$G37&amp;"-")-1)),$C$54:$C$59,$D$54:$D$59),""))</f>
        <v>0</v>
      </c>
      <c r="I37" s="71"/>
      <c r="J37" s="72" t="str">
        <f aca="false">IF($I37="","n/a",IF($H37=$I37,"ok","MISMATCH"))</f>
        <v>n/a</v>
      </c>
      <c r="K37" s="144" t="n">
        <v>10000</v>
      </c>
      <c r="L37" s="74"/>
      <c r="N37" s="38" t="s">
        <v>1431</v>
      </c>
    </row>
    <row r="38" customFormat="false" ht="15" hidden="false" customHeight="true" outlineLevel="0" collapsed="false">
      <c r="B38" s="66" t="s">
        <v>1445</v>
      </c>
      <c r="C38" s="68" t="s">
        <v>1425</v>
      </c>
      <c r="D38" s="69" t="n">
        <v>28</v>
      </c>
      <c r="E38" s="68" t="n">
        <v>51</v>
      </c>
      <c r="F38" s="68" t="n">
        <v>43</v>
      </c>
      <c r="G38" s="69" t="s">
        <v>646</v>
      </c>
      <c r="H38" s="70" t="n">
        <f aca="false">IF($G38="","",IFERROR(LOOKUP(VALUE(LEFT($G38&amp;"",FIND("-",$G38&amp;"-")-1)),$C$54:$C$59,$D$54:$D$59),""))</f>
        <v>0</v>
      </c>
      <c r="I38" s="71"/>
      <c r="J38" s="72" t="str">
        <f aca="false">IF($I38="","n/a",IF($H38=$I38,"ok","MISMATCH"))</f>
        <v>n/a</v>
      </c>
      <c r="K38" s="144" t="n">
        <v>10000</v>
      </c>
      <c r="L38" s="74"/>
      <c r="N38" s="38" t="s">
        <v>1425</v>
      </c>
    </row>
    <row r="39" customFormat="false" ht="15" hidden="false" customHeight="true" outlineLevel="0" collapsed="false">
      <c r="B39" s="66" t="s">
        <v>1446</v>
      </c>
      <c r="C39" s="68" t="s">
        <v>1447</v>
      </c>
      <c r="D39" s="69" t="n">
        <v>29</v>
      </c>
      <c r="E39" s="68" t="n">
        <v>54</v>
      </c>
      <c r="F39" s="68" t="n">
        <v>49</v>
      </c>
      <c r="G39" s="69" t="s">
        <v>646</v>
      </c>
      <c r="H39" s="70" t="n">
        <f aca="false">IF($G39="","",IFERROR(LOOKUP(VALUE(LEFT($G39&amp;"",FIND("-",$G39&amp;"-")-1)),$C$54:$C$59,$D$54:$D$59),""))</f>
        <v>0</v>
      </c>
      <c r="I39" s="71"/>
      <c r="J39" s="72" t="str">
        <f aca="false">IF($I39="","n/a",IF($H39=$I39,"ok","MISMATCH"))</f>
        <v>n/a</v>
      </c>
      <c r="K39" s="144" t="n">
        <v>10000</v>
      </c>
      <c r="L39" s="74"/>
      <c r="N39" s="38" t="s">
        <v>1447</v>
      </c>
    </row>
    <row r="40" customFormat="false" ht="15" hidden="false" customHeight="true" outlineLevel="0" collapsed="false">
      <c r="B40" s="66" t="s">
        <v>1448</v>
      </c>
      <c r="C40" s="68" t="s">
        <v>1449</v>
      </c>
      <c r="D40" s="69" t="n">
        <v>30</v>
      </c>
      <c r="E40" s="68" t="n">
        <v>58</v>
      </c>
      <c r="F40" s="68" t="n">
        <v>50</v>
      </c>
      <c r="G40" s="69" t="s">
        <v>646</v>
      </c>
      <c r="H40" s="70" t="n">
        <f aca="false">IF($G40="","",IFERROR(LOOKUP(VALUE(LEFT($G40&amp;"",FIND("-",$G40&amp;"-")-1)),$C$54:$C$59,$D$54:$D$59),""))</f>
        <v>0</v>
      </c>
      <c r="I40" s="71"/>
      <c r="J40" s="72" t="str">
        <f aca="false">IF($I40="","n/a",IF($H40=$I40,"ok","MISMATCH"))</f>
        <v>n/a</v>
      </c>
      <c r="K40" s="144" t="n">
        <v>10000</v>
      </c>
      <c r="L40" s="74"/>
      <c r="N40" s="38" t="s">
        <v>1449</v>
      </c>
    </row>
    <row r="41" customFormat="false" ht="15" hidden="false" customHeight="true" outlineLevel="0" collapsed="false">
      <c r="B41" s="66" t="s">
        <v>1450</v>
      </c>
      <c r="C41" s="68" t="s">
        <v>119</v>
      </c>
      <c r="D41" s="69" t="n">
        <v>31</v>
      </c>
      <c r="E41" s="68" t="n">
        <v>61</v>
      </c>
      <c r="F41" s="68" t="n">
        <v>48</v>
      </c>
      <c r="G41" s="69" t="s">
        <v>646</v>
      </c>
      <c r="H41" s="70" t="n">
        <f aca="false">IF($G41="","",IFERROR(LOOKUP(VALUE(LEFT($G41&amp;"",FIND("-",$G41&amp;"-")-1)),$C$54:$C$59,$D$54:$D$59),""))</f>
        <v>0</v>
      </c>
      <c r="I41" s="71" t="n">
        <v>0</v>
      </c>
      <c r="J41" s="72" t="str">
        <f aca="false">IF($I41="","n/a",IF($H41=$I41,"ok","MISMATCH"))</f>
        <v>ok</v>
      </c>
      <c r="K41" s="144" t="n">
        <v>10000</v>
      </c>
      <c r="L41" s="74"/>
      <c r="N41" s="38" t="s">
        <v>119</v>
      </c>
    </row>
    <row r="42" customFormat="false" ht="15" hidden="false" customHeight="true" outlineLevel="0" collapsed="false">
      <c r="B42" s="66" t="s">
        <v>1451</v>
      </c>
      <c r="C42" s="68" t="s">
        <v>1452</v>
      </c>
      <c r="D42" s="69" t="n">
        <v>32</v>
      </c>
      <c r="E42" s="68" t="n">
        <v>64</v>
      </c>
      <c r="F42" s="68" t="n">
        <v>51</v>
      </c>
      <c r="G42" s="69" t="s">
        <v>916</v>
      </c>
      <c r="H42" s="70" t="n">
        <f aca="false">IF($G42="","",IFERROR(LOOKUP(VALUE(LEFT($G42&amp;"",FIND("-",$G42&amp;"-")-1)),$C$54:$C$59,$D$54:$D$59),""))</f>
        <v>0</v>
      </c>
      <c r="I42" s="71"/>
      <c r="J42" s="72" t="str">
        <f aca="false">IF($I42="","n/a",IF($H42=$I42,"ok","MISMATCH"))</f>
        <v>n/a</v>
      </c>
      <c r="K42" s="144" t="n">
        <v>12500</v>
      </c>
      <c r="L42" s="74" t="s">
        <v>1453</v>
      </c>
      <c r="N42" s="38" t="s">
        <v>1452</v>
      </c>
    </row>
    <row r="43" customFormat="false" ht="15" hidden="false" customHeight="true" outlineLevel="0" collapsed="false">
      <c r="B43" s="66" t="s">
        <v>1454</v>
      </c>
      <c r="C43" s="68" t="s">
        <v>1455</v>
      </c>
      <c r="D43" s="69" t="n">
        <v>33</v>
      </c>
      <c r="E43" s="68" t="n">
        <v>69</v>
      </c>
      <c r="F43" s="68" t="n">
        <v>46</v>
      </c>
      <c r="G43" s="69" t="s">
        <v>916</v>
      </c>
      <c r="H43" s="70" t="n">
        <f aca="false">IF($G43="","",IFERROR(LOOKUP(VALUE(LEFT($G43&amp;"",FIND("-",$G43&amp;"-")-1)),$C$54:$C$59,$D$54:$D$59),""))</f>
        <v>0</v>
      </c>
      <c r="I43" s="71"/>
      <c r="J43" s="72" t="str">
        <f aca="false">IF($I43="","n/a",IF($H43=$I43,"ok","MISMATCH"))</f>
        <v>n/a</v>
      </c>
      <c r="K43" s="144" t="n">
        <v>12500</v>
      </c>
      <c r="L43" s="74" t="s">
        <v>1456</v>
      </c>
      <c r="N43" s="38" t="s">
        <v>1455</v>
      </c>
    </row>
    <row r="44" customFormat="false" ht="15" hidden="false" customHeight="true" outlineLevel="0" collapsed="false">
      <c r="B44" s="66" t="s">
        <v>1457</v>
      </c>
      <c r="C44" s="68" t="s">
        <v>1458</v>
      </c>
      <c r="D44" s="69" t="n">
        <v>34</v>
      </c>
      <c r="E44" s="68" t="n">
        <v>72</v>
      </c>
      <c r="F44" s="68" t="n">
        <v>59</v>
      </c>
      <c r="G44" s="69" t="s">
        <v>646</v>
      </c>
      <c r="H44" s="70" t="n">
        <f aca="false">IF($G44="","",IFERROR(LOOKUP(VALUE(LEFT($G44&amp;"",FIND("-",$G44&amp;"-")-1)),$C$54:$C$59,$D$54:$D$59),""))</f>
        <v>0</v>
      </c>
      <c r="I44" s="71"/>
      <c r="J44" s="72" t="str">
        <f aca="false">IF($I44="","n/a",IF($H44=$I44,"ok","MISMATCH"))</f>
        <v>n/a</v>
      </c>
      <c r="K44" s="144" t="n">
        <v>10000</v>
      </c>
      <c r="L44" s="74"/>
      <c r="N44" s="38" t="s">
        <v>1458</v>
      </c>
    </row>
    <row r="45" customFormat="false" ht="15" hidden="false" customHeight="true" outlineLevel="0" collapsed="false">
      <c r="B45" s="66" t="s">
        <v>1459</v>
      </c>
      <c r="C45" s="68" t="s">
        <v>243</v>
      </c>
      <c r="D45" s="69" t="n">
        <v>35</v>
      </c>
      <c r="E45" s="68" t="n">
        <v>78</v>
      </c>
      <c r="F45" s="68" t="n">
        <v>55</v>
      </c>
      <c r="G45" s="69" t="s">
        <v>646</v>
      </c>
      <c r="H45" s="70" t="n">
        <f aca="false">IF($G45="","",IFERROR(LOOKUP(VALUE(LEFT($G45&amp;"",FIND("-",$G45&amp;"-")-1)),$C$54:$C$59,$D$54:$D$59),""))</f>
        <v>0</v>
      </c>
      <c r="I45" s="71"/>
      <c r="J45" s="72" t="str">
        <f aca="false">IF($I45="","n/a",IF($H45=$I45,"ok","MISMATCH"))</f>
        <v>n/a</v>
      </c>
      <c r="K45" s="144" t="n">
        <v>10000</v>
      </c>
      <c r="L45" s="74" t="s">
        <v>1460</v>
      </c>
      <c r="N45" s="38" t="s">
        <v>243</v>
      </c>
    </row>
    <row r="46" customFormat="false" ht="15" hidden="false" customHeight="true" outlineLevel="0" collapsed="false">
      <c r="B46" s="66" t="s">
        <v>1461</v>
      </c>
      <c r="C46" s="68" t="s">
        <v>1462</v>
      </c>
      <c r="D46" s="69" t="n">
        <v>36</v>
      </c>
      <c r="E46" s="68" t="n">
        <v>108</v>
      </c>
      <c r="F46" s="68" t="n">
        <v>54</v>
      </c>
      <c r="G46" s="69" t="s">
        <v>433</v>
      </c>
      <c r="H46" s="70" t="n">
        <f aca="false">IF($G46="","",IFERROR(LOOKUP(VALUE(LEFT($G46&amp;"",FIND("-",$G46&amp;"-")-1)),$C$54:$C$59,$D$54:$D$59),""))</f>
        <v>0</v>
      </c>
      <c r="I46" s="71"/>
      <c r="J46" s="72" t="str">
        <f aca="false">IF($I46="","n/a",IF($H46=$I46,"ok","MISMATCH"))</f>
        <v>n/a</v>
      </c>
      <c r="K46" s="144" t="n">
        <v>15000</v>
      </c>
      <c r="L46" s="74" t="s">
        <v>1463</v>
      </c>
      <c r="N46" s="38" t="s">
        <v>1462</v>
      </c>
    </row>
    <row r="48" customFormat="false" ht="15" hidden="false" customHeight="true" outlineLevel="0" collapsed="false">
      <c r="B48" s="11" t="s">
        <v>459</v>
      </c>
      <c r="H48" s="77" t="n">
        <f aca="false">SUM(H11:H46)</f>
        <v>3350</v>
      </c>
    </row>
    <row r="49" customFormat="false" ht="15" hidden="false" customHeight="true" outlineLevel="0" collapsed="false">
      <c r="B49" s="18" t="s">
        <v>1464</v>
      </c>
    </row>
    <row r="52" customFormat="false" ht="15" hidden="false" customHeight="true" outlineLevel="0" collapsed="false">
      <c r="B52" s="11" t="s">
        <v>461</v>
      </c>
    </row>
    <row r="53" customFormat="false" ht="15" hidden="false" customHeight="true" outlineLevel="0" collapsed="false">
      <c r="B53" s="4" t="s">
        <v>463</v>
      </c>
      <c r="C53" s="4" t="s">
        <v>464</v>
      </c>
      <c r="D53" s="4" t="s">
        <v>465</v>
      </c>
    </row>
    <row r="54" customFormat="false" ht="15" hidden="false" customHeight="true" outlineLevel="0" collapsed="false">
      <c r="C54" s="13" t="n">
        <v>1</v>
      </c>
      <c r="D54" s="79" t="n">
        <v>1000</v>
      </c>
      <c r="E54" s="80" t="s">
        <v>466</v>
      </c>
    </row>
    <row r="55" customFormat="false" ht="15" hidden="false" customHeight="true" outlineLevel="0" collapsed="false">
      <c r="C55" s="13" t="n">
        <v>2</v>
      </c>
      <c r="D55" s="79" t="n">
        <v>750</v>
      </c>
      <c r="E55" s="80" t="s">
        <v>467</v>
      </c>
    </row>
    <row r="56" customFormat="false" ht="15" hidden="false" customHeight="true" outlineLevel="0" collapsed="false">
      <c r="C56" s="13" t="n">
        <v>3</v>
      </c>
      <c r="D56" s="79" t="n">
        <v>500</v>
      </c>
      <c r="E56" s="80" t="s">
        <v>468</v>
      </c>
    </row>
    <row r="57" customFormat="false" ht="15" hidden="false" customHeight="true" outlineLevel="0" collapsed="false">
      <c r="C57" s="13" t="n">
        <v>4</v>
      </c>
      <c r="D57" s="79" t="n">
        <v>300</v>
      </c>
      <c r="E57" s="80" t="s">
        <v>469</v>
      </c>
    </row>
    <row r="58" customFormat="false" ht="15" hidden="false" customHeight="true" outlineLevel="0" collapsed="false">
      <c r="C58" s="13" t="n">
        <v>5</v>
      </c>
      <c r="D58" s="79" t="n">
        <v>200</v>
      </c>
      <c r="E58" s="80" t="s">
        <v>537</v>
      </c>
    </row>
    <row r="59" customFormat="false" ht="15" hidden="false" customHeight="true" outlineLevel="0" collapsed="false">
      <c r="C59" s="13" t="n">
        <v>9</v>
      </c>
      <c r="D59" s="79" t="n">
        <v>0</v>
      </c>
      <c r="E59" s="80" t="s">
        <v>1465</v>
      </c>
    </row>
    <row r="62" customFormat="false" ht="15" hidden="false" customHeight="true" outlineLevel="0" collapsed="false">
      <c r="B62" s="11" t="s">
        <v>1466</v>
      </c>
    </row>
    <row r="63" customFormat="false" ht="15" hidden="false" customHeight="true" outlineLevel="0" collapsed="false">
      <c r="B63" s="3" t="s">
        <v>1467</v>
      </c>
      <c r="C63" s="3"/>
      <c r="D63" s="3"/>
      <c r="E63" s="3"/>
      <c r="F63" s="3"/>
      <c r="G63" s="3"/>
      <c r="H63" s="3"/>
      <c r="I63" s="3"/>
      <c r="J63" s="3"/>
      <c r="K63" s="3"/>
      <c r="L63" s="3"/>
    </row>
    <row r="64" customFormat="false" ht="15" hidden="false" customHeight="true" outlineLevel="0" collapsed="false">
      <c r="B64" s="3"/>
      <c r="C64" s="3"/>
      <c r="D64" s="3"/>
      <c r="E64" s="3"/>
      <c r="F64" s="3"/>
      <c r="G64" s="3"/>
      <c r="H64" s="3"/>
      <c r="I64" s="3"/>
      <c r="J64" s="3"/>
      <c r="K64" s="3"/>
      <c r="L64" s="3"/>
    </row>
    <row r="65" customFormat="false" ht="15" hidden="false" customHeight="true" outlineLevel="0" collapsed="false">
      <c r="B65" s="3"/>
      <c r="C65" s="3"/>
      <c r="D65" s="3"/>
      <c r="E65" s="3"/>
      <c r="F65" s="3"/>
      <c r="G65" s="3"/>
      <c r="H65" s="3"/>
      <c r="I65" s="3"/>
      <c r="J65" s="3"/>
      <c r="K65" s="3"/>
      <c r="L65" s="3"/>
    </row>
    <row r="66" customFormat="false" ht="15" hidden="false" customHeight="true" outlineLevel="0" collapsed="false">
      <c r="B66" s="3"/>
      <c r="C66" s="3"/>
      <c r="D66" s="3"/>
      <c r="E66" s="3"/>
      <c r="F66" s="3"/>
      <c r="G66" s="3"/>
      <c r="H66" s="3"/>
      <c r="I66" s="3"/>
      <c r="J66" s="3"/>
      <c r="K66" s="3"/>
      <c r="L66" s="3"/>
    </row>
    <row r="67" customFormat="false" ht="15" hidden="false" customHeight="true" outlineLevel="0" collapsed="false">
      <c r="B67" s="3"/>
      <c r="C67" s="3"/>
      <c r="D67" s="3"/>
      <c r="E67" s="3"/>
      <c r="F67" s="3"/>
      <c r="G67" s="3"/>
      <c r="H67" s="3"/>
      <c r="I67" s="3"/>
      <c r="J67" s="3"/>
      <c r="K67" s="3"/>
      <c r="L67" s="3"/>
    </row>
    <row r="68" customFormat="false" ht="15" hidden="false" customHeight="true" outlineLevel="0" collapsed="false">
      <c r="B68" s="3"/>
      <c r="C68" s="3"/>
      <c r="D68" s="3"/>
      <c r="E68" s="3"/>
      <c r="F68" s="3"/>
      <c r="G68" s="3"/>
      <c r="H68" s="3"/>
      <c r="I68" s="3"/>
      <c r="J68" s="3"/>
      <c r="K68" s="3"/>
      <c r="L68" s="3"/>
    </row>
    <row r="69" customFormat="false" ht="15" hidden="false" customHeight="true" outlineLevel="0" collapsed="false">
      <c r="B69" s="3"/>
      <c r="C69" s="3"/>
      <c r="D69" s="3"/>
      <c r="E69" s="3"/>
      <c r="F69" s="3"/>
      <c r="G69" s="3"/>
      <c r="H69" s="3"/>
      <c r="I69" s="3"/>
      <c r="J69" s="3"/>
      <c r="K69" s="3"/>
      <c r="L69" s="3"/>
    </row>
    <row r="70" customFormat="false" ht="15" hidden="false" customHeight="true" outlineLevel="0" collapsed="false">
      <c r="B70" s="3"/>
      <c r="C70" s="3"/>
      <c r="D70" s="3"/>
      <c r="E70" s="3"/>
      <c r="F70" s="3"/>
      <c r="G70" s="3"/>
      <c r="H70" s="3"/>
      <c r="I70" s="3"/>
      <c r="J70" s="3"/>
      <c r="K70" s="3"/>
      <c r="L70" s="3"/>
    </row>
    <row r="72" customFormat="false" ht="34.5" hidden="false" customHeight="true" outlineLevel="0" collapsed="false">
      <c r="B72" s="4" t="s">
        <v>541</v>
      </c>
      <c r="C72" s="4" t="s">
        <v>488</v>
      </c>
      <c r="D72" s="4" t="s">
        <v>1395</v>
      </c>
      <c r="E72" s="4" t="s">
        <v>835</v>
      </c>
      <c r="F72" s="4" t="s">
        <v>544</v>
      </c>
    </row>
    <row r="73" customFormat="false" ht="15" hidden="false" customHeight="true" outlineLevel="0" collapsed="false">
      <c r="B73" s="13" t="n">
        <v>1</v>
      </c>
      <c r="C73" s="81" t="s">
        <v>1397</v>
      </c>
      <c r="D73" s="68" t="n">
        <v>1</v>
      </c>
      <c r="E73" s="13" t="s">
        <v>432</v>
      </c>
      <c r="F73" s="95" t="n">
        <v>-4</v>
      </c>
    </row>
    <row r="74" customFormat="false" ht="15" hidden="false" customHeight="true" outlineLevel="0" collapsed="false">
      <c r="B74" s="13" t="n">
        <v>2</v>
      </c>
      <c r="C74" s="81" t="s">
        <v>1398</v>
      </c>
      <c r="D74" s="68" t="n">
        <v>2</v>
      </c>
      <c r="E74" s="13" t="s">
        <v>916</v>
      </c>
      <c r="F74" s="95" t="n">
        <v>-15</v>
      </c>
    </row>
    <row r="75" customFormat="false" ht="15" hidden="false" customHeight="true" outlineLevel="0" collapsed="false">
      <c r="B75" s="13" t="n">
        <v>3</v>
      </c>
      <c r="C75" s="81" t="s">
        <v>1400</v>
      </c>
      <c r="D75" s="68" t="n">
        <v>3</v>
      </c>
      <c r="E75" s="13" t="s">
        <v>432</v>
      </c>
      <c r="F75" s="95" t="n">
        <v>-2</v>
      </c>
    </row>
    <row r="76" customFormat="false" ht="15" hidden="false" customHeight="true" outlineLevel="0" collapsed="false">
      <c r="B76" s="13" t="n">
        <v>4</v>
      </c>
      <c r="C76" s="81" t="s">
        <v>1402</v>
      </c>
      <c r="D76" s="68" t="n">
        <v>4</v>
      </c>
      <c r="E76" s="13" t="s">
        <v>433</v>
      </c>
      <c r="F76" s="95" t="n">
        <v>-5</v>
      </c>
    </row>
    <row r="77" customFormat="false" ht="15" hidden="false" customHeight="true" outlineLevel="0" collapsed="false">
      <c r="B77" s="13" t="n">
        <v>5</v>
      </c>
      <c r="C77" s="81" t="s">
        <v>1403</v>
      </c>
      <c r="D77" s="68" t="n">
        <v>5</v>
      </c>
      <c r="E77" s="13" t="s">
        <v>433</v>
      </c>
      <c r="F77" s="95" t="n">
        <v>-4</v>
      </c>
    </row>
    <row r="78" customFormat="false" ht="15" hidden="false" customHeight="true" outlineLevel="0" collapsed="false">
      <c r="B78" s="13" t="n">
        <v>6</v>
      </c>
      <c r="C78" s="81" t="s">
        <v>1404</v>
      </c>
      <c r="D78" s="68" t="n">
        <v>6</v>
      </c>
      <c r="E78" s="13" t="s">
        <v>916</v>
      </c>
      <c r="F78" s="95" t="n">
        <v>-11</v>
      </c>
    </row>
    <row r="79" customFormat="false" ht="15" hidden="false" customHeight="true" outlineLevel="0" collapsed="false">
      <c r="B79" s="13" t="n">
        <v>7</v>
      </c>
      <c r="C79" s="81" t="s">
        <v>1406</v>
      </c>
      <c r="D79" s="68" t="n">
        <v>7</v>
      </c>
      <c r="E79" s="13" t="s">
        <v>433</v>
      </c>
      <c r="F79" s="95" t="n">
        <v>-2</v>
      </c>
    </row>
    <row r="80" customFormat="false" ht="15" hidden="false" customHeight="true" outlineLevel="0" collapsed="false">
      <c r="B80" s="13" t="n">
        <v>8</v>
      </c>
      <c r="C80" s="81" t="s">
        <v>1407</v>
      </c>
      <c r="D80" s="68" t="n">
        <v>8</v>
      </c>
      <c r="E80" s="13" t="s">
        <v>646</v>
      </c>
      <c r="F80" s="95" t="n">
        <v>-17</v>
      </c>
    </row>
    <row r="81" customFormat="false" ht="15" hidden="false" customHeight="true" outlineLevel="0" collapsed="false">
      <c r="B81" s="13" t="n">
        <v>9</v>
      </c>
      <c r="C81" s="81" t="s">
        <v>1409</v>
      </c>
      <c r="D81" s="68" t="n">
        <v>9</v>
      </c>
      <c r="E81" s="13" t="s">
        <v>916</v>
      </c>
      <c r="F81" s="95" t="n">
        <v>-8</v>
      </c>
    </row>
    <row r="82" customFormat="false" ht="15" hidden="false" customHeight="true" outlineLevel="0" collapsed="false">
      <c r="B82" s="13" t="n">
        <v>10</v>
      </c>
      <c r="C82" s="81" t="s">
        <v>1411</v>
      </c>
      <c r="D82" s="68" t="n">
        <v>11</v>
      </c>
      <c r="E82" s="13" t="s">
        <v>430</v>
      </c>
      <c r="F82" s="96" t="n">
        <v>7</v>
      </c>
    </row>
    <row r="83" customFormat="false" ht="15" hidden="false" customHeight="true" outlineLevel="0" collapsed="false">
      <c r="B83" s="13" t="n">
        <v>11</v>
      </c>
      <c r="C83" s="81" t="s">
        <v>1412</v>
      </c>
      <c r="D83" s="68" t="n">
        <v>12</v>
      </c>
      <c r="E83" s="13" t="s">
        <v>432</v>
      </c>
      <c r="F83" s="96" t="n">
        <v>6</v>
      </c>
    </row>
    <row r="84" customFormat="false" ht="15" hidden="false" customHeight="true" outlineLevel="0" collapsed="false">
      <c r="B84" s="13" t="n">
        <v>12</v>
      </c>
      <c r="C84" s="81" t="s">
        <v>1413</v>
      </c>
      <c r="D84" s="68" t="n">
        <v>17</v>
      </c>
      <c r="E84" s="13" t="s">
        <v>646</v>
      </c>
      <c r="F84" s="95" t="n">
        <v>-13</v>
      </c>
    </row>
    <row r="85" customFormat="false" ht="15" hidden="false" customHeight="true" outlineLevel="0" collapsed="false">
      <c r="B85" s="13" t="n">
        <v>13</v>
      </c>
      <c r="C85" s="81" t="s">
        <v>1415</v>
      </c>
      <c r="D85" s="68" t="n">
        <v>18</v>
      </c>
      <c r="E85" s="13" t="s">
        <v>431</v>
      </c>
      <c r="F85" s="96" t="n">
        <v>9</v>
      </c>
    </row>
    <row r="86" customFormat="false" ht="15" hidden="false" customHeight="true" outlineLevel="0" collapsed="false">
      <c r="B86" s="13" t="n">
        <v>14</v>
      </c>
      <c r="C86" s="81" t="s">
        <v>1417</v>
      </c>
      <c r="D86" s="68" t="n">
        <v>20</v>
      </c>
      <c r="E86" s="13" t="s">
        <v>433</v>
      </c>
      <c r="F86" s="96" t="n">
        <v>5</v>
      </c>
    </row>
    <row r="87" customFormat="false" ht="15" hidden="false" customHeight="true" outlineLevel="0" collapsed="false">
      <c r="B87" s="13" t="n">
        <v>15</v>
      </c>
      <c r="C87" s="81" t="s">
        <v>1419</v>
      </c>
      <c r="D87" s="68" t="n">
        <v>22</v>
      </c>
      <c r="E87" s="13" t="s">
        <v>916</v>
      </c>
      <c r="F87" s="95" t="n">
        <v>-2</v>
      </c>
    </row>
    <row r="88" customFormat="false" ht="15" hidden="false" customHeight="true" outlineLevel="0" collapsed="false">
      <c r="B88" s="13" t="n">
        <v>16</v>
      </c>
      <c r="C88" s="81" t="s">
        <v>1421</v>
      </c>
      <c r="D88" s="68" t="n">
        <v>23</v>
      </c>
      <c r="E88" s="13" t="s">
        <v>646</v>
      </c>
      <c r="F88" s="95" t="n">
        <v>-9</v>
      </c>
    </row>
    <row r="89" customFormat="false" ht="15" hidden="false" customHeight="true" outlineLevel="0" collapsed="false">
      <c r="B89" s="13" t="n">
        <v>17</v>
      </c>
      <c r="C89" s="81" t="s">
        <v>1423</v>
      </c>
      <c r="D89" s="68" t="n">
        <v>24</v>
      </c>
      <c r="E89" s="13" t="s">
        <v>646</v>
      </c>
      <c r="F89" s="95" t="n">
        <v>-8</v>
      </c>
    </row>
    <row r="90" customFormat="false" ht="15" hidden="false" customHeight="true" outlineLevel="0" collapsed="false">
      <c r="B90" s="13" t="n">
        <v>18</v>
      </c>
      <c r="C90" s="81" t="s">
        <v>1424</v>
      </c>
      <c r="D90" s="68" t="n">
        <v>25</v>
      </c>
      <c r="E90" s="13" t="s">
        <v>646</v>
      </c>
      <c r="F90" s="95" t="n">
        <v>-7</v>
      </c>
    </row>
    <row r="91" customFormat="false" ht="15" hidden="false" customHeight="true" outlineLevel="0" collapsed="false">
      <c r="B91" s="13" t="n">
        <v>19</v>
      </c>
      <c r="C91" s="81" t="s">
        <v>1426</v>
      </c>
      <c r="D91" s="68" t="n">
        <v>26</v>
      </c>
      <c r="E91" s="13" t="s">
        <v>432</v>
      </c>
      <c r="F91" s="96" t="n">
        <v>14</v>
      </c>
    </row>
    <row r="92" customFormat="false" ht="15" hidden="false" customHeight="true" outlineLevel="0" collapsed="false">
      <c r="B92" s="13" t="n">
        <v>20</v>
      </c>
      <c r="C92" s="81" t="s">
        <v>1428</v>
      </c>
      <c r="D92" s="68" t="n">
        <v>28</v>
      </c>
      <c r="E92" s="13" t="s">
        <v>433</v>
      </c>
      <c r="F92" s="96" t="n">
        <v>11</v>
      </c>
    </row>
    <row r="93" customFormat="false" ht="15" hidden="false" customHeight="true" outlineLevel="0" collapsed="false">
      <c r="B93" s="13" t="n">
        <v>21</v>
      </c>
      <c r="C93" s="81" t="s">
        <v>1430</v>
      </c>
      <c r="D93" s="68" t="n">
        <v>29</v>
      </c>
      <c r="E93" s="13" t="s">
        <v>916</v>
      </c>
      <c r="F93" s="96" t="n">
        <v>4</v>
      </c>
    </row>
    <row r="94" customFormat="false" ht="15" hidden="false" customHeight="true" outlineLevel="0" collapsed="false">
      <c r="B94" s="13" t="n">
        <v>22</v>
      </c>
      <c r="C94" s="81" t="s">
        <v>1432</v>
      </c>
      <c r="D94" s="68" t="n">
        <v>30</v>
      </c>
      <c r="E94" s="13" t="s">
        <v>427</v>
      </c>
      <c r="F94" s="96" t="n">
        <v>21</v>
      </c>
    </row>
    <row r="95" customFormat="false" ht="15" hidden="false" customHeight="true" outlineLevel="0" collapsed="false">
      <c r="B95" s="13" t="n">
        <v>23</v>
      </c>
      <c r="C95" s="81" t="s">
        <v>1435</v>
      </c>
      <c r="D95" s="68" t="n">
        <v>35</v>
      </c>
      <c r="E95" s="13" t="s">
        <v>916</v>
      </c>
      <c r="F95" s="96" t="n">
        <v>6</v>
      </c>
    </row>
    <row r="96" customFormat="false" ht="15" hidden="false" customHeight="true" outlineLevel="0" collapsed="false">
      <c r="B96" s="13" t="n">
        <v>24</v>
      </c>
      <c r="C96" s="81" t="s">
        <v>1437</v>
      </c>
      <c r="D96" s="68" t="n">
        <v>36</v>
      </c>
      <c r="E96" s="13" t="s">
        <v>428</v>
      </c>
      <c r="F96" s="96" t="n">
        <v>22</v>
      </c>
    </row>
    <row r="97" customFormat="false" ht="15" hidden="false" customHeight="true" outlineLevel="0" collapsed="false">
      <c r="B97" s="13" t="n">
        <v>25</v>
      </c>
      <c r="C97" s="81" t="s">
        <v>1439</v>
      </c>
      <c r="D97" s="68" t="n">
        <v>40</v>
      </c>
      <c r="E97" s="13" t="s">
        <v>433</v>
      </c>
      <c r="F97" s="96" t="n">
        <v>16</v>
      </c>
    </row>
    <row r="98" customFormat="false" ht="15" hidden="false" customHeight="true" outlineLevel="0" collapsed="false">
      <c r="B98" s="13" t="n">
        <v>26</v>
      </c>
      <c r="C98" s="81" t="s">
        <v>1442</v>
      </c>
      <c r="D98" s="68" t="n">
        <v>42</v>
      </c>
      <c r="E98" s="13" t="s">
        <v>433</v>
      </c>
      <c r="F98" s="96" t="n">
        <v>17</v>
      </c>
    </row>
    <row r="99" customFormat="false" ht="15" hidden="false" customHeight="true" outlineLevel="0" collapsed="false">
      <c r="B99" s="13" t="n">
        <v>27</v>
      </c>
      <c r="C99" s="81" t="s">
        <v>1444</v>
      </c>
      <c r="D99" s="68" t="n">
        <v>46</v>
      </c>
      <c r="E99" s="13" t="s">
        <v>646</v>
      </c>
      <c r="F99" s="96" t="n">
        <v>2</v>
      </c>
    </row>
    <row r="100" customFormat="false" ht="15" hidden="false" customHeight="true" outlineLevel="0" collapsed="false">
      <c r="B100" s="13" t="n">
        <v>28</v>
      </c>
      <c r="C100" s="81" t="s">
        <v>1445</v>
      </c>
      <c r="D100" s="68" t="n">
        <v>51</v>
      </c>
      <c r="E100" s="13" t="s">
        <v>646</v>
      </c>
      <c r="F100" s="96" t="n">
        <v>3</v>
      </c>
    </row>
    <row r="101" customFormat="false" ht="15" hidden="false" customHeight="true" outlineLevel="0" collapsed="false">
      <c r="B101" s="13" t="n">
        <v>29</v>
      </c>
      <c r="C101" s="81" t="s">
        <v>1446</v>
      </c>
      <c r="D101" s="68" t="n">
        <v>54</v>
      </c>
      <c r="E101" s="13" t="s">
        <v>646</v>
      </c>
      <c r="F101" s="96" t="n">
        <v>4</v>
      </c>
    </row>
    <row r="102" customFormat="false" ht="15" hidden="false" customHeight="true" outlineLevel="0" collapsed="false">
      <c r="B102" s="13" t="n">
        <v>30</v>
      </c>
      <c r="C102" s="81" t="s">
        <v>1448</v>
      </c>
      <c r="D102" s="68" t="n">
        <v>58</v>
      </c>
      <c r="E102" s="13" t="s">
        <v>646</v>
      </c>
      <c r="F102" s="96" t="n">
        <v>5</v>
      </c>
    </row>
    <row r="103" customFormat="false" ht="15" hidden="false" customHeight="true" outlineLevel="0" collapsed="false">
      <c r="B103" s="13" t="n">
        <v>31</v>
      </c>
      <c r="C103" s="81" t="s">
        <v>1450</v>
      </c>
      <c r="D103" s="68" t="n">
        <v>61</v>
      </c>
      <c r="E103" s="13" t="s">
        <v>646</v>
      </c>
      <c r="F103" s="96" t="n">
        <v>6</v>
      </c>
    </row>
    <row r="104" customFormat="false" ht="15" hidden="false" customHeight="true" outlineLevel="0" collapsed="false">
      <c r="B104" s="13" t="n">
        <v>32</v>
      </c>
      <c r="C104" s="81" t="s">
        <v>1451</v>
      </c>
      <c r="D104" s="68" t="n">
        <v>64</v>
      </c>
      <c r="E104" s="13" t="s">
        <v>916</v>
      </c>
      <c r="F104" s="96" t="n">
        <v>15</v>
      </c>
    </row>
    <row r="105" customFormat="false" ht="15" hidden="false" customHeight="true" outlineLevel="0" collapsed="false">
      <c r="B105" s="13" t="n">
        <v>33</v>
      </c>
      <c r="C105" s="81" t="s">
        <v>1454</v>
      </c>
      <c r="D105" s="68" t="n">
        <v>69</v>
      </c>
      <c r="E105" s="13" t="s">
        <v>916</v>
      </c>
      <c r="F105" s="96" t="n">
        <v>16</v>
      </c>
    </row>
    <row r="106" customFormat="false" ht="15" hidden="false" customHeight="true" outlineLevel="0" collapsed="false">
      <c r="B106" s="13" t="n">
        <v>34</v>
      </c>
      <c r="C106" s="81" t="s">
        <v>1457</v>
      </c>
      <c r="D106" s="68" t="n">
        <v>72</v>
      </c>
      <c r="E106" s="13" t="s">
        <v>646</v>
      </c>
      <c r="F106" s="96" t="n">
        <v>9</v>
      </c>
    </row>
    <row r="107" customFormat="false" ht="15" hidden="false" customHeight="true" outlineLevel="0" collapsed="false">
      <c r="B107" s="13" t="n">
        <v>35</v>
      </c>
      <c r="C107" s="81" t="s">
        <v>1459</v>
      </c>
      <c r="D107" s="68" t="n">
        <v>78</v>
      </c>
      <c r="E107" s="13" t="s">
        <v>646</v>
      </c>
      <c r="F107" s="96" t="n">
        <v>10</v>
      </c>
    </row>
    <row r="108" customFormat="false" ht="15" hidden="false" customHeight="true" outlineLevel="0" collapsed="false">
      <c r="B108" s="13" t="n">
        <v>36</v>
      </c>
      <c r="C108" s="81" t="s">
        <v>1461</v>
      </c>
      <c r="D108" s="68" t="n">
        <v>108</v>
      </c>
      <c r="E108" s="13" t="s">
        <v>433</v>
      </c>
      <c r="F108" s="96" t="n">
        <v>27</v>
      </c>
    </row>
  </sheetData>
  <sheetProtection sheet="true" formatCells="false" selectLockedCells="true" selectUnlockedCells="true"/>
  <mergeCells count="1">
    <mergeCell ref="B63:L70"/>
  </mergeCells>
  <dataValidations count="1">
    <dataValidation allowBlank="true" error="Pick a placement from the list." errorStyle="stop" errorTitle="Use the dropdown" operator="between" showDropDown="false" showErrorMessage="false" showInputMessage="false" sqref="G11:G46" type="list">
      <formula1>"1,2,3,4,5-8,9-16,17-24,25"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4" min="2" style="1" width="22"/>
    <col collapsed="false" customWidth="true" hidden="false" outlineLevel="0" max="5" min="5" style="1" width="7"/>
    <col collapsed="false" customWidth="true" hidden="false" outlineLevel="0" max="6" min="6" style="1" width="24"/>
    <col collapsed="false" customWidth="true" hidden="false" outlineLevel="0" max="7" min="7" style="1" width="11"/>
    <col collapsed="false" customWidth="true" hidden="false" outlineLevel="0" max="9" min="8" style="1" width="12"/>
    <col collapsed="false" customWidth="true" hidden="false" outlineLevel="0" max="10" min="10" style="1" width="11"/>
    <col collapsed="false" customWidth="true" hidden="false" outlineLevel="0" max="11" min="11" style="1" width="14"/>
    <col collapsed="false" customWidth="true" hidden="false" outlineLevel="0" max="12" min="12" style="1" width="10"/>
    <col collapsed="false" customWidth="true" hidden="false" outlineLevel="0" max="13" min="13" style="1" width="12"/>
  </cols>
  <sheetData>
    <row r="2" customFormat="false" ht="18" hidden="false" customHeight="true" outlineLevel="0" collapsed="false">
      <c r="B2" s="2" t="s">
        <v>1468</v>
      </c>
    </row>
    <row r="3" customFormat="false" ht="15" hidden="false" customHeight="true" outlineLevel="0" collapsed="false">
      <c r="B3" s="18" t="s">
        <v>1469</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1470</v>
      </c>
      <c r="D6" s="28" t="s">
        <v>549</v>
      </c>
      <c r="F6" s="28" t="s">
        <v>1471</v>
      </c>
      <c r="H6" s="28" t="s">
        <v>1472</v>
      </c>
      <c r="J6" s="28" t="s">
        <v>1473</v>
      </c>
      <c r="L6" s="28" t="s">
        <v>553</v>
      </c>
    </row>
    <row r="8" customFormat="false" ht="15" hidden="false" customHeight="true" outlineLevel="0" collapsed="false">
      <c r="B8" s="11" t="s">
        <v>416</v>
      </c>
    </row>
    <row r="9" customFormat="false" ht="15" hidden="false" customHeight="true" outlineLevel="0" collapsed="false">
      <c r="B9" s="18" t="s">
        <v>1474</v>
      </c>
    </row>
    <row r="10" customFormat="false" ht="34.5" hidden="false" customHeight="true" outlineLevel="0" collapsed="false">
      <c r="B10" s="4" t="s">
        <v>1475</v>
      </c>
      <c r="C10" s="4" t="s">
        <v>1476</v>
      </c>
      <c r="D10" s="4" t="s">
        <v>426</v>
      </c>
      <c r="E10" s="4" t="s">
        <v>541</v>
      </c>
      <c r="F10" s="4" t="s">
        <v>1106</v>
      </c>
      <c r="G10" s="4" t="s">
        <v>421</v>
      </c>
      <c r="H10" s="4" t="s">
        <v>422</v>
      </c>
      <c r="I10" s="4" t="s">
        <v>1043</v>
      </c>
      <c r="J10" s="4" t="s">
        <v>1044</v>
      </c>
      <c r="K10" s="4" t="s">
        <v>423</v>
      </c>
      <c r="L10" s="4" t="s">
        <v>424</v>
      </c>
      <c r="M10" s="4" t="s">
        <v>425</v>
      </c>
      <c r="O10" s="4" t="s">
        <v>426</v>
      </c>
    </row>
    <row r="11" customFormat="false" ht="15" hidden="false" customHeight="true" outlineLevel="0" collapsed="false">
      <c r="B11" s="57" t="s">
        <v>281</v>
      </c>
      <c r="C11" s="91" t="s">
        <v>282</v>
      </c>
      <c r="D11" s="59" t="s">
        <v>281</v>
      </c>
      <c r="E11" s="60" t="n">
        <v>1</v>
      </c>
      <c r="F11" s="91" t="s">
        <v>1477</v>
      </c>
      <c r="G11" s="60" t="s">
        <v>432</v>
      </c>
      <c r="H11" s="61" t="n">
        <f aca="false">IF($G11="","",IFERROR(LOOKUP(VALUE(LEFT($G11&amp;"",FIND("-",$G11&amp;"-")-1)),$C$32:$C$37,$D$32:$D$37),""))</f>
        <v>200</v>
      </c>
      <c r="I11" s="146" t="s">
        <v>117</v>
      </c>
      <c r="J11" s="61" t="n">
        <f aca="false">IF($I11="VOID",0,$H11)</f>
        <v>200</v>
      </c>
      <c r="K11" s="62" t="n">
        <v>200</v>
      </c>
      <c r="L11" s="63" t="str">
        <f aca="false">IF($K11="","n/a",IF($J11=$K11,"ok","MISMATCH"))</f>
        <v>ok</v>
      </c>
      <c r="M11" s="142" t="n">
        <v>75000</v>
      </c>
      <c r="O11" s="38" t="s">
        <v>281</v>
      </c>
    </row>
    <row r="12" customFormat="false" ht="15" hidden="false" customHeight="true" outlineLevel="0" collapsed="false">
      <c r="B12" s="29" t="s">
        <v>1478</v>
      </c>
      <c r="C12" s="85" t="s">
        <v>1479</v>
      </c>
      <c r="D12" s="31" t="s">
        <v>1478</v>
      </c>
      <c r="E12" s="32" t="n">
        <v>2</v>
      </c>
      <c r="F12" s="85" t="s">
        <v>1480</v>
      </c>
      <c r="G12" s="32" t="s">
        <v>427</v>
      </c>
      <c r="H12" s="33" t="n">
        <f aca="false">IF($G12="","",IFERROR(LOOKUP(VALUE(LEFT($G12&amp;"",FIND("-",$G12&amp;"-")-1)),$C$32:$C$37,$D$32:$D$37),""))</f>
        <v>1000</v>
      </c>
      <c r="I12" s="146" t="s">
        <v>117</v>
      </c>
      <c r="J12" s="33" t="n">
        <f aca="false">IF($I12="VOID",0,$H12)</f>
        <v>1000</v>
      </c>
      <c r="K12" s="34" t="n">
        <v>1000</v>
      </c>
      <c r="L12" s="35" t="str">
        <f aca="false">IF($K12="","n/a",IF($J12=$K12,"ok","MISMATCH"))</f>
        <v>ok</v>
      </c>
      <c r="M12" s="137" t="n">
        <v>600000</v>
      </c>
      <c r="O12" s="38" t="s">
        <v>1478</v>
      </c>
    </row>
    <row r="13" customFormat="false" ht="15" hidden="false" customHeight="true" outlineLevel="0" collapsed="false">
      <c r="B13" s="57" t="s">
        <v>114</v>
      </c>
      <c r="C13" s="91" t="s">
        <v>1481</v>
      </c>
      <c r="D13" s="59" t="s">
        <v>114</v>
      </c>
      <c r="E13" s="60" t="n">
        <v>3</v>
      </c>
      <c r="F13" s="91" t="s">
        <v>1482</v>
      </c>
      <c r="G13" s="60" t="s">
        <v>431</v>
      </c>
      <c r="H13" s="61" t="n">
        <f aca="false">IF($G13="","",IFERROR(LOOKUP(VALUE(LEFT($G13&amp;"",FIND("-",$G13&amp;"-")-1)),$C$32:$C$37,$D$32:$D$37),""))</f>
        <v>300</v>
      </c>
      <c r="I13" s="146" t="s">
        <v>117</v>
      </c>
      <c r="J13" s="61" t="n">
        <f aca="false">IF($I13="VOID",0,$H13)</f>
        <v>300</v>
      </c>
      <c r="K13" s="62" t="n">
        <v>300</v>
      </c>
      <c r="L13" s="63" t="str">
        <f aca="false">IF($K13="","n/a",IF($J13=$K13,"ok","MISMATCH"))</f>
        <v>ok</v>
      </c>
      <c r="M13" s="142" t="n">
        <v>130000</v>
      </c>
      <c r="O13" s="38" t="s">
        <v>114</v>
      </c>
    </row>
    <row r="14" customFormat="false" ht="15" hidden="false" customHeight="true" outlineLevel="0" collapsed="false">
      <c r="B14" s="57" t="s">
        <v>218</v>
      </c>
      <c r="C14" s="91" t="s">
        <v>1483</v>
      </c>
      <c r="D14" s="59" t="s">
        <v>218</v>
      </c>
      <c r="E14" s="60" t="n">
        <v>4</v>
      </c>
      <c r="F14" s="91" t="s">
        <v>1484</v>
      </c>
      <c r="G14" s="60" t="s">
        <v>432</v>
      </c>
      <c r="H14" s="61" t="n">
        <f aca="false">IF($G14="","",IFERROR(LOOKUP(VALUE(LEFT($G14&amp;"",FIND("-",$G14&amp;"-")-1)),$C$32:$C$37,$D$32:$D$37),""))</f>
        <v>200</v>
      </c>
      <c r="I14" s="146" t="s">
        <v>117</v>
      </c>
      <c r="J14" s="61" t="n">
        <f aca="false">IF($I14="VOID",0,$H14)</f>
        <v>200</v>
      </c>
      <c r="K14" s="62" t="n">
        <v>200</v>
      </c>
      <c r="L14" s="63" t="str">
        <f aca="false">IF($K14="","n/a",IF($J14=$K14,"ok","MISMATCH"))</f>
        <v>ok</v>
      </c>
      <c r="M14" s="142" t="n">
        <v>75000</v>
      </c>
      <c r="O14" s="38" t="s">
        <v>218</v>
      </c>
    </row>
    <row r="15" customFormat="false" ht="15" hidden="false" customHeight="true" outlineLevel="0" collapsed="false">
      <c r="B15" s="39" t="s">
        <v>197</v>
      </c>
      <c r="C15" s="87" t="s">
        <v>198</v>
      </c>
      <c r="D15" s="41" t="s">
        <v>197</v>
      </c>
      <c r="E15" s="42" t="n">
        <v>5</v>
      </c>
      <c r="F15" s="87" t="s">
        <v>1485</v>
      </c>
      <c r="G15" s="42" t="s">
        <v>428</v>
      </c>
      <c r="H15" s="43" t="n">
        <f aca="false">IF($G15="","",IFERROR(LOOKUP(VALUE(LEFT($G15&amp;"",FIND("-",$G15&amp;"-")-1)),$C$32:$C$37,$D$32:$D$37),""))</f>
        <v>750</v>
      </c>
      <c r="I15" s="146" t="s">
        <v>117</v>
      </c>
      <c r="J15" s="43" t="n">
        <f aca="false">IF($I15="VOID",0,$H15)</f>
        <v>750</v>
      </c>
      <c r="K15" s="44" t="n">
        <v>750</v>
      </c>
      <c r="L15" s="45" t="str">
        <f aca="false">IF($K15="","n/a",IF($J15=$K15,"ok","MISMATCH"))</f>
        <v>ok</v>
      </c>
      <c r="M15" s="139" t="n">
        <v>320000</v>
      </c>
      <c r="O15" s="38" t="s">
        <v>197</v>
      </c>
    </row>
    <row r="16" customFormat="false" ht="15" hidden="false" customHeight="true" outlineLevel="0" collapsed="false">
      <c r="B16" s="57" t="s">
        <v>215</v>
      </c>
      <c r="C16" s="91" t="s">
        <v>216</v>
      </c>
      <c r="D16" s="59" t="s">
        <v>215</v>
      </c>
      <c r="E16" s="60" t="n">
        <v>6</v>
      </c>
      <c r="F16" s="91" t="s">
        <v>1485</v>
      </c>
      <c r="G16" s="60" t="s">
        <v>432</v>
      </c>
      <c r="H16" s="61" t="n">
        <f aca="false">IF($G16="","",IFERROR(LOOKUP(VALUE(LEFT($G16&amp;"",FIND("-",$G16&amp;"-")-1)),$C$32:$C$37,$D$32:$D$37),""))</f>
        <v>200</v>
      </c>
      <c r="I16" s="147" t="s">
        <v>1048</v>
      </c>
      <c r="J16" s="61" t="n">
        <f aca="false">IF($I16="VOID",0,$H16)</f>
        <v>0</v>
      </c>
      <c r="K16" s="62"/>
      <c r="L16" s="63" t="str">
        <f aca="false">IF($K16="","n/a",IF($J16=$K16,"ok","MISMATCH"))</f>
        <v>n/a</v>
      </c>
      <c r="M16" s="142" t="n">
        <v>75000</v>
      </c>
      <c r="O16" s="38" t="s">
        <v>215</v>
      </c>
    </row>
    <row r="17" customFormat="false" ht="15" hidden="false" customHeight="true" outlineLevel="0" collapsed="false">
      <c r="B17" s="57" t="s">
        <v>294</v>
      </c>
      <c r="C17" s="91" t="s">
        <v>1486</v>
      </c>
      <c r="D17" s="59" t="s">
        <v>294</v>
      </c>
      <c r="E17" s="60" t="n">
        <v>7</v>
      </c>
      <c r="F17" s="91" t="s">
        <v>1487</v>
      </c>
      <c r="G17" s="60" t="s">
        <v>432</v>
      </c>
      <c r="H17" s="61" t="n">
        <f aca="false">IF($G17="","",IFERROR(LOOKUP(VALUE(LEFT($G17&amp;"",FIND("-",$G17&amp;"-")-1)),$C$32:$C$37,$D$32:$D$37),""))</f>
        <v>200</v>
      </c>
      <c r="I17" s="146" t="s">
        <v>117</v>
      </c>
      <c r="J17" s="61" t="n">
        <f aca="false">IF($I17="VOID",0,$H17)</f>
        <v>200</v>
      </c>
      <c r="K17" s="62" t="n">
        <v>200</v>
      </c>
      <c r="L17" s="63" t="str">
        <f aca="false">IF($K17="","n/a",IF($J17=$K17,"ok","MISMATCH"))</f>
        <v>ok</v>
      </c>
      <c r="M17" s="142" t="n">
        <v>75000</v>
      </c>
      <c r="O17" s="38" t="s">
        <v>294</v>
      </c>
    </row>
    <row r="18" customFormat="false" ht="15" hidden="false" customHeight="true" outlineLevel="0" collapsed="false">
      <c r="B18" s="48" t="s">
        <v>230</v>
      </c>
      <c r="C18" s="89" t="s">
        <v>1488</v>
      </c>
      <c r="D18" s="50" t="s">
        <v>230</v>
      </c>
      <c r="E18" s="51" t="n">
        <v>8</v>
      </c>
      <c r="F18" s="89" t="s">
        <v>1487</v>
      </c>
      <c r="G18" s="51" t="s">
        <v>430</v>
      </c>
      <c r="H18" s="52" t="n">
        <f aca="false">IF($G18="","",IFERROR(LOOKUP(VALUE(LEFT($G18&amp;"",FIND("-",$G18&amp;"-")-1)),$C$32:$C$37,$D$32:$D$37),""))</f>
        <v>500</v>
      </c>
      <c r="I18" s="146" t="s">
        <v>117</v>
      </c>
      <c r="J18" s="52" t="n">
        <f aca="false">IF($I18="VOID",0,$H18)</f>
        <v>500</v>
      </c>
      <c r="K18" s="53" t="n">
        <v>500</v>
      </c>
      <c r="L18" s="54" t="str">
        <f aca="false">IF($K18="","n/a",IF($J18=$K18,"ok","MISMATCH"))</f>
        <v>ok</v>
      </c>
      <c r="M18" s="140" t="n">
        <v>210000</v>
      </c>
      <c r="O18" s="38" t="s">
        <v>230</v>
      </c>
    </row>
    <row r="19" customFormat="false" ht="15" hidden="false" customHeight="true" outlineLevel="0" collapsed="false">
      <c r="B19" s="66" t="s">
        <v>1489</v>
      </c>
      <c r="C19" s="16" t="s">
        <v>1489</v>
      </c>
      <c r="D19" s="68" t="s">
        <v>1489</v>
      </c>
      <c r="E19" s="69" t="n">
        <v>9</v>
      </c>
      <c r="F19" s="16" t="s">
        <v>1490</v>
      </c>
      <c r="G19" s="69" t="s">
        <v>514</v>
      </c>
      <c r="H19" s="70" t="n">
        <f aca="false">IF($G19="","",IFERROR(LOOKUP(VALUE(LEFT($G19&amp;"",FIND("-",$G19&amp;"-")-1)),$C$32:$C$37,$D$32:$D$37),""))</f>
        <v>0</v>
      </c>
      <c r="I19" s="146" t="s">
        <v>117</v>
      </c>
      <c r="J19" s="70" t="n">
        <f aca="false">IF($I19="VOID",0,$H19)</f>
        <v>0</v>
      </c>
      <c r="K19" s="71"/>
      <c r="L19" s="72" t="str">
        <f aca="false">IF($K19="","n/a",IF($J19=$K19,"ok","MISMATCH"))</f>
        <v>n/a</v>
      </c>
      <c r="M19" s="144" t="n">
        <v>20000</v>
      </c>
      <c r="O19" s="38" t="s">
        <v>1489</v>
      </c>
    </row>
    <row r="20" customFormat="false" ht="15" hidden="false" customHeight="true" outlineLevel="0" collapsed="false">
      <c r="B20" s="66" t="s">
        <v>1491</v>
      </c>
      <c r="C20" s="16" t="s">
        <v>1491</v>
      </c>
      <c r="D20" s="68" t="s">
        <v>1491</v>
      </c>
      <c r="E20" s="69" t="n">
        <v>10</v>
      </c>
      <c r="F20" s="16" t="s">
        <v>1492</v>
      </c>
      <c r="G20" s="69" t="s">
        <v>514</v>
      </c>
      <c r="H20" s="70" t="n">
        <f aca="false">IF($G20="","",IFERROR(LOOKUP(VALUE(LEFT($G20&amp;"",FIND("-",$G20&amp;"-")-1)),$C$32:$C$37,$D$32:$D$37),""))</f>
        <v>0</v>
      </c>
      <c r="I20" s="146" t="s">
        <v>117</v>
      </c>
      <c r="J20" s="70" t="n">
        <f aca="false">IF($I20="VOID",0,$H20)</f>
        <v>0</v>
      </c>
      <c r="K20" s="71"/>
      <c r="L20" s="72" t="str">
        <f aca="false">IF($K20="","n/a",IF($J20=$K20,"ok","MISMATCH"))</f>
        <v>n/a</v>
      </c>
      <c r="M20" s="144" t="n">
        <v>20000</v>
      </c>
      <c r="O20" s="38" t="s">
        <v>1491</v>
      </c>
    </row>
    <row r="21" customFormat="false" ht="15" hidden="false" customHeight="true" outlineLevel="0" collapsed="false">
      <c r="B21" s="66" t="s">
        <v>1493</v>
      </c>
      <c r="C21" s="16" t="s">
        <v>1493</v>
      </c>
      <c r="D21" s="68" t="s">
        <v>1493</v>
      </c>
      <c r="E21" s="69" t="n">
        <v>11</v>
      </c>
      <c r="F21" s="16" t="s">
        <v>1494</v>
      </c>
      <c r="G21" s="69" t="s">
        <v>514</v>
      </c>
      <c r="H21" s="70" t="n">
        <f aca="false">IF($G21="","",IFERROR(LOOKUP(VALUE(LEFT($G21&amp;"",FIND("-",$G21&amp;"-")-1)),$C$32:$C$37,$D$32:$D$37),""))</f>
        <v>0</v>
      </c>
      <c r="I21" s="146" t="s">
        <v>117</v>
      </c>
      <c r="J21" s="70" t="n">
        <f aca="false">IF($I21="VOID",0,$H21)</f>
        <v>0</v>
      </c>
      <c r="K21" s="71"/>
      <c r="L21" s="72" t="str">
        <f aca="false">IF($K21="","n/a",IF($J21=$K21,"ok","MISMATCH"))</f>
        <v>n/a</v>
      </c>
      <c r="M21" s="144" t="n">
        <v>20000</v>
      </c>
      <c r="O21" s="38" t="s">
        <v>1493</v>
      </c>
    </row>
    <row r="22" customFormat="false" ht="15" hidden="false" customHeight="true" outlineLevel="0" collapsed="false">
      <c r="B22" s="66" t="s">
        <v>277</v>
      </c>
      <c r="C22" s="16" t="s">
        <v>1495</v>
      </c>
      <c r="D22" s="68" t="s">
        <v>277</v>
      </c>
      <c r="E22" s="69" t="n">
        <v>12</v>
      </c>
      <c r="F22" s="16" t="s">
        <v>1496</v>
      </c>
      <c r="G22" s="69" t="s">
        <v>506</v>
      </c>
      <c r="H22" s="70" t="n">
        <f aca="false">IF($G22="","",IFERROR(LOOKUP(VALUE(LEFT($G22&amp;"",FIND("-",$G22&amp;"-")-1)),$C$32:$C$37,$D$32:$D$37),""))</f>
        <v>0</v>
      </c>
      <c r="I22" s="146" t="s">
        <v>117</v>
      </c>
      <c r="J22" s="70" t="n">
        <f aca="false">IF($I22="VOID",0,$H22)</f>
        <v>0</v>
      </c>
      <c r="K22" s="71" t="n">
        <v>0</v>
      </c>
      <c r="L22" s="72" t="str">
        <f aca="false">IF($K22="","n/a",IF($J22=$K22,"ok","MISMATCH"))</f>
        <v>ok</v>
      </c>
      <c r="M22" s="144" t="n">
        <v>40000</v>
      </c>
      <c r="O22" s="38" t="s">
        <v>277</v>
      </c>
    </row>
    <row r="23" customFormat="false" ht="15" hidden="false" customHeight="true" outlineLevel="0" collapsed="false">
      <c r="B23" s="66" t="s">
        <v>1497</v>
      </c>
      <c r="C23" s="16" t="s">
        <v>1498</v>
      </c>
      <c r="D23" s="68" t="s">
        <v>1497</v>
      </c>
      <c r="E23" s="69" t="n">
        <v>13</v>
      </c>
      <c r="F23" s="74" t="s">
        <v>1499</v>
      </c>
      <c r="G23" s="69" t="s">
        <v>514</v>
      </c>
      <c r="H23" s="70" t="n">
        <f aca="false">IF($G23="","",IFERROR(LOOKUP(VALUE(LEFT($G23&amp;"",FIND("-",$G23&amp;"-")-1)),$C$32:$C$37,$D$32:$D$37),""))</f>
        <v>0</v>
      </c>
      <c r="I23" s="146" t="s">
        <v>117</v>
      </c>
      <c r="J23" s="70" t="n">
        <f aca="false">IF($I23="VOID",0,$H23)</f>
        <v>0</v>
      </c>
      <c r="K23" s="71"/>
      <c r="L23" s="72" t="str">
        <f aca="false">IF($K23="","n/a",IF($J23=$K23,"ok","MISMATCH"))</f>
        <v>n/a</v>
      </c>
      <c r="M23" s="144" t="n">
        <v>20000</v>
      </c>
      <c r="O23" s="38" t="s">
        <v>1497</v>
      </c>
    </row>
    <row r="24" customFormat="false" ht="15" hidden="false" customHeight="true" outlineLevel="0" collapsed="false">
      <c r="B24" s="66" t="s">
        <v>1500</v>
      </c>
      <c r="C24" s="16" t="s">
        <v>1498</v>
      </c>
      <c r="D24" s="68" t="s">
        <v>1500</v>
      </c>
      <c r="E24" s="69" t="n">
        <v>14</v>
      </c>
      <c r="F24" s="74" t="s">
        <v>1499</v>
      </c>
      <c r="G24" s="69" t="s">
        <v>506</v>
      </c>
      <c r="H24" s="70" t="n">
        <f aca="false">IF($G24="","",IFERROR(LOOKUP(VALUE(LEFT($G24&amp;"",FIND("-",$G24&amp;"-")-1)),$C$32:$C$37,$D$32:$D$37),""))</f>
        <v>0</v>
      </c>
      <c r="I24" s="146" t="s">
        <v>117</v>
      </c>
      <c r="J24" s="70" t="n">
        <f aca="false">IF($I24="VOID",0,$H24)</f>
        <v>0</v>
      </c>
      <c r="K24" s="71"/>
      <c r="L24" s="72" t="str">
        <f aca="false">IF($K24="","n/a",IF($J24=$K24,"ok","MISMATCH"))</f>
        <v>n/a</v>
      </c>
      <c r="M24" s="144" t="n">
        <v>40000</v>
      </c>
      <c r="O24" s="38" t="s">
        <v>1500</v>
      </c>
    </row>
    <row r="25" customFormat="false" ht="15" hidden="false" customHeight="true" outlineLevel="0" collapsed="false">
      <c r="B25" s="66" t="s">
        <v>1501</v>
      </c>
      <c r="C25" s="16" t="s">
        <v>1498</v>
      </c>
      <c r="D25" s="68" t="s">
        <v>1501</v>
      </c>
      <c r="E25" s="69" t="n">
        <v>15</v>
      </c>
      <c r="F25" s="74" t="s">
        <v>1499</v>
      </c>
      <c r="G25" s="69" t="s">
        <v>506</v>
      </c>
      <c r="H25" s="70" t="n">
        <f aca="false">IF($G25="","",IFERROR(LOOKUP(VALUE(LEFT($G25&amp;"",FIND("-",$G25&amp;"-")-1)),$C$32:$C$37,$D$32:$D$37),""))</f>
        <v>0</v>
      </c>
      <c r="I25" s="146" t="s">
        <v>117</v>
      </c>
      <c r="J25" s="70" t="n">
        <f aca="false">IF($I25="VOID",0,$H25)</f>
        <v>0</v>
      </c>
      <c r="K25" s="71"/>
      <c r="L25" s="72" t="str">
        <f aca="false">IF($K25="","n/a",IF($J25=$K25,"ok","MISMATCH"))</f>
        <v>n/a</v>
      </c>
      <c r="M25" s="144" t="n">
        <v>40000</v>
      </c>
      <c r="O25" s="38" t="s">
        <v>1501</v>
      </c>
    </row>
    <row r="26" customFormat="false" ht="15" hidden="false" customHeight="true" outlineLevel="0" collapsed="false">
      <c r="B26" s="66" t="s">
        <v>1502</v>
      </c>
      <c r="C26" s="16" t="s">
        <v>1498</v>
      </c>
      <c r="D26" s="68" t="s">
        <v>1502</v>
      </c>
      <c r="E26" s="69" t="n">
        <v>16</v>
      </c>
      <c r="F26" s="74" t="s">
        <v>1499</v>
      </c>
      <c r="G26" s="69" t="s">
        <v>506</v>
      </c>
      <c r="H26" s="70" t="n">
        <f aca="false">IF($G26="","",IFERROR(LOOKUP(VALUE(LEFT($G26&amp;"",FIND("-",$G26&amp;"-")-1)),$C$32:$C$37,$D$32:$D$37),""))</f>
        <v>0</v>
      </c>
      <c r="I26" s="146" t="s">
        <v>117</v>
      </c>
      <c r="J26" s="70" t="n">
        <f aca="false">IF($I26="VOID",0,$H26)</f>
        <v>0</v>
      </c>
      <c r="K26" s="71"/>
      <c r="L26" s="72" t="str">
        <f aca="false">IF($K26="","n/a",IF($J26=$K26,"ok","MISMATCH"))</f>
        <v>n/a</v>
      </c>
      <c r="M26" s="144" t="n">
        <v>40000</v>
      </c>
      <c r="O26" s="38" t="s">
        <v>1502</v>
      </c>
    </row>
    <row r="28" customFormat="false" ht="15" hidden="false" customHeight="true" outlineLevel="0" collapsed="false">
      <c r="B28" s="11" t="s">
        <v>1269</v>
      </c>
      <c r="J28" s="77" t="n">
        <f aca="false">SUM(J11:J26)</f>
        <v>3150</v>
      </c>
    </row>
    <row r="29" customFormat="false" ht="15" hidden="false" customHeight="true" outlineLevel="0" collapsed="false">
      <c r="B29" s="18" t="s">
        <v>1503</v>
      </c>
    </row>
    <row r="30" customFormat="false" ht="15" hidden="false" customHeight="true" outlineLevel="0" collapsed="false">
      <c r="B30" s="11" t="s">
        <v>461</v>
      </c>
    </row>
    <row r="31" customFormat="false" ht="15" hidden="false" customHeight="true" outlineLevel="0" collapsed="false">
      <c r="B31" s="4" t="s">
        <v>463</v>
      </c>
      <c r="C31" s="4" t="s">
        <v>464</v>
      </c>
      <c r="D31" s="4" t="s">
        <v>465</v>
      </c>
    </row>
    <row r="32" customFormat="false" ht="15" hidden="false" customHeight="true" outlineLevel="0" collapsed="false">
      <c r="C32" s="13" t="n">
        <v>1</v>
      </c>
      <c r="D32" s="79" t="n">
        <v>1000</v>
      </c>
      <c r="E32" s="80" t="s">
        <v>466</v>
      </c>
    </row>
    <row r="33" customFormat="false" ht="15" hidden="false" customHeight="true" outlineLevel="0" collapsed="false">
      <c r="C33" s="13" t="n">
        <v>2</v>
      </c>
      <c r="D33" s="79" t="n">
        <v>750</v>
      </c>
      <c r="E33" s="80" t="s">
        <v>467</v>
      </c>
    </row>
    <row r="34" customFormat="false" ht="15" hidden="false" customHeight="true" outlineLevel="0" collapsed="false">
      <c r="C34" s="13" t="n">
        <v>3</v>
      </c>
      <c r="D34" s="79" t="n">
        <v>500</v>
      </c>
      <c r="E34" s="80" t="s">
        <v>468</v>
      </c>
    </row>
    <row r="35" customFormat="false" ht="15" hidden="false" customHeight="true" outlineLevel="0" collapsed="false">
      <c r="C35" s="13" t="n">
        <v>4</v>
      </c>
      <c r="D35" s="79" t="n">
        <v>300</v>
      </c>
      <c r="E35" s="80" t="s">
        <v>469</v>
      </c>
    </row>
    <row r="36" customFormat="false" ht="15" hidden="false" customHeight="true" outlineLevel="0" collapsed="false">
      <c r="C36" s="13" t="n">
        <v>5</v>
      </c>
      <c r="D36" s="79" t="n">
        <v>200</v>
      </c>
      <c r="E36" s="80" t="s">
        <v>537</v>
      </c>
    </row>
    <row r="37" customFormat="false" ht="15" hidden="false" customHeight="true" outlineLevel="0" collapsed="false">
      <c r="C37" s="13" t="n">
        <v>9</v>
      </c>
      <c r="D37" s="79" t="n">
        <v>0</v>
      </c>
      <c r="E37" s="80" t="s">
        <v>1055</v>
      </c>
    </row>
    <row r="40" customFormat="false" ht="15" hidden="false" customHeight="true" outlineLevel="0" collapsed="false">
      <c r="B40" s="11" t="s">
        <v>1504</v>
      </c>
    </row>
    <row r="41" customFormat="false" ht="15" hidden="false" customHeight="true" outlineLevel="0" collapsed="false">
      <c r="B41" s="3" t="s">
        <v>1505</v>
      </c>
      <c r="C41" s="3"/>
      <c r="D41" s="3"/>
      <c r="E41" s="3"/>
      <c r="F41" s="3"/>
      <c r="G41" s="3"/>
      <c r="H41" s="3"/>
      <c r="I41" s="3"/>
      <c r="J41" s="3"/>
      <c r="K41" s="3"/>
      <c r="L41" s="3"/>
      <c r="M41" s="3"/>
    </row>
    <row r="42" customFormat="false" ht="15" hidden="false" customHeight="true" outlineLevel="0" collapsed="false">
      <c r="B42" s="3"/>
      <c r="C42" s="3"/>
      <c r="D42" s="3"/>
      <c r="E42" s="3"/>
      <c r="F42" s="3"/>
      <c r="G42" s="3"/>
      <c r="H42" s="3"/>
      <c r="I42" s="3"/>
      <c r="J42" s="3"/>
      <c r="K42" s="3"/>
      <c r="L42" s="3"/>
      <c r="M42" s="3"/>
    </row>
    <row r="43" customFormat="false" ht="15" hidden="false" customHeight="true" outlineLevel="0" collapsed="false">
      <c r="B43" s="3"/>
      <c r="C43" s="3"/>
      <c r="D43" s="3"/>
      <c r="E43" s="3"/>
      <c r="F43" s="3"/>
      <c r="G43" s="3"/>
      <c r="H43" s="3"/>
      <c r="I43" s="3"/>
      <c r="J43" s="3"/>
      <c r="K43" s="3"/>
      <c r="L43" s="3"/>
      <c r="M43" s="3"/>
    </row>
    <row r="44" customFormat="false" ht="15" hidden="false" customHeight="true" outlineLevel="0" collapsed="false">
      <c r="B44" s="3"/>
      <c r="C44" s="3"/>
      <c r="D44" s="3"/>
      <c r="E44" s="3"/>
      <c r="F44" s="3"/>
      <c r="G44" s="3"/>
      <c r="H44" s="3"/>
      <c r="I44" s="3"/>
      <c r="J44" s="3"/>
      <c r="K44" s="3"/>
      <c r="L44" s="3"/>
      <c r="M44" s="3"/>
    </row>
    <row r="45" customFormat="false" ht="15" hidden="false" customHeight="true" outlineLevel="0" collapsed="false">
      <c r="B45" s="3"/>
      <c r="C45" s="3"/>
      <c r="D45" s="3"/>
      <c r="E45" s="3"/>
      <c r="F45" s="3"/>
      <c r="G45" s="3"/>
      <c r="H45" s="3"/>
      <c r="I45" s="3"/>
      <c r="J45" s="3"/>
      <c r="K45" s="3"/>
      <c r="L45" s="3"/>
      <c r="M45" s="3"/>
    </row>
    <row r="46" customFormat="false" ht="15" hidden="false" customHeight="true" outlineLevel="0" collapsed="false">
      <c r="B46" s="3"/>
      <c r="C46" s="3"/>
      <c r="D46" s="3"/>
      <c r="E46" s="3"/>
      <c r="F46" s="3"/>
      <c r="G46" s="3"/>
      <c r="H46" s="3"/>
      <c r="I46" s="3"/>
      <c r="J46" s="3"/>
      <c r="K46" s="3"/>
      <c r="L46" s="3"/>
      <c r="M46" s="3"/>
    </row>
    <row r="47" customFormat="false" ht="15" hidden="false" customHeight="true" outlineLevel="0" collapsed="false">
      <c r="B47" s="3"/>
      <c r="C47" s="3"/>
      <c r="D47" s="3"/>
      <c r="E47" s="3"/>
      <c r="F47" s="3"/>
      <c r="G47" s="3"/>
      <c r="H47" s="3"/>
      <c r="I47" s="3"/>
      <c r="J47" s="3"/>
      <c r="K47" s="3"/>
      <c r="L47" s="3"/>
      <c r="M47" s="3"/>
    </row>
    <row r="48" customFormat="false" ht="15" hidden="false" customHeight="true" outlineLevel="0" collapsed="false">
      <c r="B48" s="3"/>
      <c r="C48" s="3"/>
      <c r="D48" s="3"/>
      <c r="E48" s="3"/>
      <c r="F48" s="3"/>
      <c r="G48" s="3"/>
      <c r="H48" s="3"/>
      <c r="I48" s="3"/>
      <c r="J48" s="3"/>
      <c r="K48" s="3"/>
      <c r="L48" s="3"/>
      <c r="M48" s="3"/>
    </row>
    <row r="50" customFormat="false" ht="23.25" hidden="false" customHeight="true" outlineLevel="0" collapsed="false">
      <c r="B50" s="4" t="s">
        <v>1506</v>
      </c>
      <c r="C50" s="4" t="s">
        <v>1139</v>
      </c>
      <c r="D50" s="4" t="s">
        <v>1059</v>
      </c>
      <c r="E50" s="4" t="s">
        <v>1060</v>
      </c>
    </row>
    <row r="51" customFormat="false" ht="15" hidden="false" customHeight="true" outlineLevel="0" collapsed="false">
      <c r="B51" s="12" t="s">
        <v>1507</v>
      </c>
      <c r="C51" s="13" t="n">
        <v>8</v>
      </c>
      <c r="D51" s="13" t="n">
        <v>8</v>
      </c>
      <c r="E51" s="157" t="n">
        <v>1</v>
      </c>
    </row>
    <row r="52" customFormat="false" ht="15" hidden="false" customHeight="true" outlineLevel="0" collapsed="false">
      <c r="B52" s="12" t="s">
        <v>1508</v>
      </c>
      <c r="C52" s="13" t="n">
        <v>4</v>
      </c>
      <c r="D52" s="13" t="n">
        <v>0</v>
      </c>
      <c r="E52" s="158" t="n">
        <v>0</v>
      </c>
    </row>
    <row r="53" customFormat="false" ht="15" hidden="false" customHeight="true" outlineLevel="0" collapsed="false">
      <c r="B53" s="12" t="s">
        <v>1509</v>
      </c>
      <c r="C53" s="13" t="n">
        <v>4</v>
      </c>
      <c r="D53" s="13" t="n">
        <v>0</v>
      </c>
      <c r="E53" s="158" t="n">
        <v>0</v>
      </c>
    </row>
    <row r="55" customFormat="false" ht="15" hidden="false" customHeight="true" outlineLevel="0" collapsed="false">
      <c r="B55" s="18" t="s">
        <v>1346</v>
      </c>
    </row>
  </sheetData>
  <sheetProtection sheet="true" formatCells="false" selectLockedCells="true" selectUnlockedCells="true"/>
  <mergeCells count="1">
    <mergeCell ref="B41:M48"/>
  </mergeCells>
  <dataValidations count="1">
    <dataValidation allowBlank="true" error="Pick a placement from the list." errorStyle="stop" errorTitle="Use the dropdown" operator="between" showDropDown="false" showErrorMessage="false" showInputMessage="false" sqref="G11:G26" type="list">
      <formula1>"1,2,3,4,5-8,9-12,13-16"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P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8"/>
    <col collapsed="false" customWidth="true" hidden="false" outlineLevel="0" max="4" min="4" style="1" width="10"/>
    <col collapsed="false" customWidth="true" hidden="false" outlineLevel="0" max="5" min="5" style="1" width="11"/>
    <col collapsed="false" customWidth="true" hidden="false" outlineLevel="0" max="7" min="6" style="1" width="15"/>
    <col collapsed="false" customWidth="true" hidden="false" outlineLevel="0" max="8" min="8" style="1" width="8"/>
    <col collapsed="false" customWidth="true" hidden="false" outlineLevel="0" max="9" min="9" style="1" width="11"/>
    <col collapsed="false" customWidth="true" hidden="false" outlineLevel="0" max="10" min="10" style="1" width="12"/>
    <col collapsed="false" customWidth="true" hidden="false" outlineLevel="0" max="11" min="11" style="1" width="15"/>
    <col collapsed="false" customWidth="true" hidden="false" outlineLevel="0" max="12" min="12" style="1" width="10"/>
    <col collapsed="false" customWidth="true" hidden="false" outlineLevel="0" max="13" min="13" style="1" width="12"/>
    <col collapsed="false" customWidth="true" hidden="false" outlineLevel="0" max="14" min="14" style="1" width="34"/>
  </cols>
  <sheetData>
    <row r="2" customFormat="false" ht="18" hidden="false" customHeight="true" outlineLevel="0" collapsed="false">
      <c r="B2" s="2" t="s">
        <v>1510</v>
      </c>
    </row>
    <row r="3" customFormat="false" ht="15" hidden="false" customHeight="true" outlineLevel="0" collapsed="false">
      <c r="B3" s="18" t="s">
        <v>1511</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1512</v>
      </c>
      <c r="D6" s="28" t="s">
        <v>549</v>
      </c>
      <c r="F6" s="28" t="s">
        <v>1513</v>
      </c>
      <c r="H6" s="28" t="s">
        <v>1514</v>
      </c>
      <c r="J6" s="28" t="s">
        <v>1515</v>
      </c>
      <c r="L6" s="28" t="s">
        <v>553</v>
      </c>
    </row>
    <row r="8" customFormat="false" ht="15" hidden="false" customHeight="true" outlineLevel="0" collapsed="false">
      <c r="B8" s="11" t="s">
        <v>416</v>
      </c>
    </row>
    <row r="9" customFormat="false" ht="15" hidden="false" customHeight="true" outlineLevel="0" collapsed="false">
      <c r="B9" s="18" t="s">
        <v>1516</v>
      </c>
    </row>
    <row r="10" customFormat="false" ht="34.5" hidden="false" customHeight="true" outlineLevel="0" collapsed="false">
      <c r="B10" s="4" t="s">
        <v>418</v>
      </c>
      <c r="C10" s="4" t="s">
        <v>555</v>
      </c>
      <c r="D10" s="4" t="s">
        <v>1517</v>
      </c>
      <c r="E10" s="4" t="s">
        <v>1518</v>
      </c>
      <c r="F10" s="4" t="s">
        <v>1519</v>
      </c>
      <c r="G10" s="4" t="s">
        <v>1520</v>
      </c>
      <c r="H10" s="4" t="s">
        <v>1521</v>
      </c>
      <c r="I10" s="4" t="s">
        <v>421</v>
      </c>
      <c r="J10" s="4" t="s">
        <v>422</v>
      </c>
      <c r="K10" s="4" t="s">
        <v>423</v>
      </c>
      <c r="L10" s="4" t="s">
        <v>424</v>
      </c>
      <c r="M10" s="4" t="s">
        <v>425</v>
      </c>
      <c r="N10" s="4" t="s">
        <v>41</v>
      </c>
      <c r="P10" s="4" t="s">
        <v>426</v>
      </c>
    </row>
    <row r="11" customFormat="false" ht="15" hidden="false" customHeight="true" outlineLevel="0" collapsed="false">
      <c r="B11" s="57" t="s">
        <v>326</v>
      </c>
      <c r="C11" s="106" t="s">
        <v>1522</v>
      </c>
      <c r="D11" s="59" t="n">
        <v>1</v>
      </c>
      <c r="E11" s="59" t="n">
        <v>112</v>
      </c>
      <c r="F11" s="159" t="n">
        <v>1</v>
      </c>
      <c r="G11" s="160" t="n">
        <v>112</v>
      </c>
      <c r="H11" s="60" t="n">
        <v>1</v>
      </c>
      <c r="I11" s="60" t="s">
        <v>431</v>
      </c>
      <c r="J11" s="61" t="n">
        <f aca="false">IF($I11="","",IFERROR(LOOKUP(VALUE(LEFT($I11&amp;"",FIND("-",$I11&amp;"-")-1)),$C$32:$C$37,$D$32:$D$37),""))</f>
        <v>300</v>
      </c>
      <c r="K11" s="62" t="n">
        <v>300</v>
      </c>
      <c r="L11" s="63" t="str">
        <f aca="false">IF($K11="","n/a",IF($J11=$K11,"ok","MISMATCH"))</f>
        <v>ok</v>
      </c>
      <c r="M11" s="142" t="n">
        <v>60000</v>
      </c>
      <c r="N11" s="91"/>
      <c r="P11" s="38" t="s">
        <v>326</v>
      </c>
    </row>
    <row r="12" customFormat="false" ht="15" hidden="false" customHeight="true" outlineLevel="0" collapsed="false">
      <c r="B12" s="57" t="s">
        <v>218</v>
      </c>
      <c r="C12" s="106" t="s">
        <v>1522</v>
      </c>
      <c r="D12" s="59" t="n">
        <v>2</v>
      </c>
      <c r="E12" s="59" t="n">
        <v>101</v>
      </c>
      <c r="F12" s="159" t="n">
        <v>1</v>
      </c>
      <c r="G12" s="160" t="n">
        <v>101</v>
      </c>
      <c r="H12" s="60" t="n">
        <v>2</v>
      </c>
      <c r="I12" s="60" t="s">
        <v>432</v>
      </c>
      <c r="J12" s="61" t="n">
        <f aca="false">IF($I12="","",IFERROR(LOOKUP(VALUE(LEFT($I12&amp;"",FIND("-",$I12&amp;"-")-1)),$C$32:$C$37,$D$32:$D$37),""))</f>
        <v>200</v>
      </c>
      <c r="K12" s="62" t="n">
        <v>200</v>
      </c>
      <c r="L12" s="63" t="str">
        <f aca="false">IF($K12="","n/a",IF($J12=$K12,"ok","MISMATCH"))</f>
        <v>ok</v>
      </c>
      <c r="M12" s="142" t="n">
        <v>35000</v>
      </c>
      <c r="N12" s="91"/>
      <c r="P12" s="38" t="s">
        <v>218</v>
      </c>
    </row>
    <row r="13" customFormat="false" ht="15" hidden="false" customHeight="true" outlineLevel="0" collapsed="false">
      <c r="B13" s="57" t="s">
        <v>119</v>
      </c>
      <c r="C13" s="106" t="s">
        <v>1522</v>
      </c>
      <c r="D13" s="59" t="n">
        <v>3</v>
      </c>
      <c r="E13" s="59" t="n">
        <v>97</v>
      </c>
      <c r="F13" s="159" t="n">
        <v>1</v>
      </c>
      <c r="G13" s="160" t="n">
        <v>97</v>
      </c>
      <c r="H13" s="60" t="n">
        <v>3</v>
      </c>
      <c r="I13" s="60" t="s">
        <v>432</v>
      </c>
      <c r="J13" s="61" t="n">
        <f aca="false">IF($I13="","",IFERROR(LOOKUP(VALUE(LEFT($I13&amp;"",FIND("-",$I13&amp;"-")-1)),$C$32:$C$37,$D$32:$D$37),""))</f>
        <v>200</v>
      </c>
      <c r="K13" s="62" t="n">
        <v>200</v>
      </c>
      <c r="L13" s="63" t="str">
        <f aca="false">IF($K13="","n/a",IF($J13=$K13,"ok","MISMATCH"))</f>
        <v>ok</v>
      </c>
      <c r="M13" s="142" t="n">
        <v>35000</v>
      </c>
      <c r="N13" s="91"/>
      <c r="P13" s="38" t="s">
        <v>119</v>
      </c>
    </row>
    <row r="14" customFormat="false" ht="15" hidden="false" customHeight="true" outlineLevel="0" collapsed="false">
      <c r="B14" s="57" t="s">
        <v>134</v>
      </c>
      <c r="C14" s="106" t="s">
        <v>613</v>
      </c>
      <c r="D14" s="59" t="n">
        <v>1</v>
      </c>
      <c r="E14" s="59" t="n">
        <v>105</v>
      </c>
      <c r="F14" s="159" t="n">
        <v>0.762987012987013</v>
      </c>
      <c r="G14" s="160" t="n">
        <v>80.1</v>
      </c>
      <c r="H14" s="60" t="n">
        <v>4</v>
      </c>
      <c r="I14" s="60" t="s">
        <v>432</v>
      </c>
      <c r="J14" s="61" t="n">
        <f aca="false">IF($I14="","",IFERROR(LOOKUP(VALUE(LEFT($I14&amp;"",FIND("-",$I14&amp;"-")-1)),$C$32:$C$37,$D$32:$D$37),""))</f>
        <v>200</v>
      </c>
      <c r="K14" s="62" t="n">
        <v>200</v>
      </c>
      <c r="L14" s="63" t="str">
        <f aca="false">IF($K14="","n/a",IF($J14=$K14,"ok","MISMATCH"))</f>
        <v>ok</v>
      </c>
      <c r="M14" s="142" t="n">
        <v>35000</v>
      </c>
      <c r="N14" s="91"/>
      <c r="P14" s="38" t="s">
        <v>134</v>
      </c>
    </row>
    <row r="15" customFormat="false" ht="15" hidden="false" customHeight="true" outlineLevel="0" collapsed="false">
      <c r="B15" s="48" t="s">
        <v>1523</v>
      </c>
      <c r="C15" s="104" t="s">
        <v>1522</v>
      </c>
      <c r="D15" s="50" t="n">
        <v>4</v>
      </c>
      <c r="E15" s="50" t="n">
        <v>60</v>
      </c>
      <c r="F15" s="161" t="n">
        <v>1</v>
      </c>
      <c r="G15" s="162" t="n">
        <v>60</v>
      </c>
      <c r="H15" s="51" t="n">
        <v>5</v>
      </c>
      <c r="I15" s="51" t="s">
        <v>430</v>
      </c>
      <c r="J15" s="52" t="n">
        <f aca="false">IF($I15="","",IFERROR(LOOKUP(VALUE(LEFT($I15&amp;"",FIND("-",$I15&amp;"-")-1)),$C$32:$C$37,$D$32:$D$37),""))</f>
        <v>500</v>
      </c>
      <c r="K15" s="53" t="n">
        <v>500</v>
      </c>
      <c r="L15" s="54" t="str">
        <f aca="false">IF($K15="","n/a",IF($J15=$K15,"ok","MISMATCH"))</f>
        <v>ok</v>
      </c>
      <c r="M15" s="140" t="n">
        <v>100000</v>
      </c>
      <c r="N15" s="89" t="s">
        <v>1524</v>
      </c>
      <c r="P15" s="38" t="s">
        <v>152</v>
      </c>
    </row>
    <row r="16" customFormat="false" ht="15" hidden="false" customHeight="true" outlineLevel="0" collapsed="false">
      <c r="B16" s="29" t="s">
        <v>114</v>
      </c>
      <c r="C16" s="98" t="s">
        <v>613</v>
      </c>
      <c r="D16" s="31" t="n">
        <v>2</v>
      </c>
      <c r="E16" s="31" t="n">
        <v>78</v>
      </c>
      <c r="F16" s="163" t="n">
        <v>0.762987012987013</v>
      </c>
      <c r="G16" s="164" t="n">
        <v>59.5</v>
      </c>
      <c r="H16" s="32" t="n">
        <v>6</v>
      </c>
      <c r="I16" s="32" t="s">
        <v>427</v>
      </c>
      <c r="J16" s="33" t="n">
        <f aca="false">IF($I16="","",IFERROR(LOOKUP(VALUE(LEFT($I16&amp;"",FIND("-",$I16&amp;"-")-1)),$C$32:$C$37,$D$32:$D$37),""))</f>
        <v>1000</v>
      </c>
      <c r="K16" s="34" t="n">
        <v>1000</v>
      </c>
      <c r="L16" s="35" t="str">
        <f aca="false">IF($K16="","n/a",IF($J16=$K16,"ok","MISMATCH"))</f>
        <v>ok</v>
      </c>
      <c r="M16" s="137" t="n">
        <v>400000</v>
      </c>
      <c r="N16" s="85"/>
      <c r="P16" s="38" t="s">
        <v>114</v>
      </c>
    </row>
    <row r="17" customFormat="false" ht="15" hidden="false" customHeight="true" outlineLevel="0" collapsed="false">
      <c r="B17" s="66" t="s">
        <v>296</v>
      </c>
      <c r="C17" s="14" t="s">
        <v>1525</v>
      </c>
      <c r="D17" s="68" t="n">
        <v>1</v>
      </c>
      <c r="E17" s="68" t="n">
        <v>90</v>
      </c>
      <c r="F17" s="165" t="n">
        <v>0.551948051948052</v>
      </c>
      <c r="G17" s="166" t="n">
        <v>49.7</v>
      </c>
      <c r="H17" s="69" t="n">
        <v>7</v>
      </c>
      <c r="I17" s="69" t="s">
        <v>506</v>
      </c>
      <c r="J17" s="70" t="n">
        <f aca="false">IF($I17="","",IFERROR(LOOKUP(VALUE(LEFT($I17&amp;"",FIND("-",$I17&amp;"-")-1)),$C$32:$C$37,$D$32:$D$37),""))</f>
        <v>0</v>
      </c>
      <c r="K17" s="71" t="n">
        <v>0</v>
      </c>
      <c r="L17" s="72" t="str">
        <f aca="false">IF($K17="","n/a",IF($J17=$K17,"ok","MISMATCH"))</f>
        <v>ok</v>
      </c>
      <c r="M17" s="144" t="n">
        <v>20000</v>
      </c>
      <c r="N17" s="16"/>
      <c r="P17" s="38" t="s">
        <v>296</v>
      </c>
    </row>
    <row r="18" customFormat="false" ht="15" hidden="false" customHeight="true" outlineLevel="0" collapsed="false">
      <c r="B18" s="57" t="s">
        <v>228</v>
      </c>
      <c r="C18" s="106" t="s">
        <v>1525</v>
      </c>
      <c r="D18" s="59" t="n">
        <v>2</v>
      </c>
      <c r="E18" s="59" t="n">
        <v>89</v>
      </c>
      <c r="F18" s="159" t="n">
        <v>0.551948051948052</v>
      </c>
      <c r="G18" s="160" t="n">
        <v>49.1</v>
      </c>
      <c r="H18" s="60" t="n">
        <v>8</v>
      </c>
      <c r="I18" s="60" t="s">
        <v>432</v>
      </c>
      <c r="J18" s="61" t="n">
        <f aca="false">IF($I18="","",IFERROR(LOOKUP(VALUE(LEFT($I18&amp;"",FIND("-",$I18&amp;"-")-1)),$C$32:$C$37,$D$32:$D$37),""))</f>
        <v>200</v>
      </c>
      <c r="K18" s="62" t="n">
        <v>200</v>
      </c>
      <c r="L18" s="63" t="str">
        <f aca="false">IF($K18="","n/a",IF($J18=$K18,"ok","MISMATCH"))</f>
        <v>ok</v>
      </c>
      <c r="M18" s="142" t="n">
        <v>35000</v>
      </c>
      <c r="N18" s="91"/>
      <c r="P18" s="38" t="s">
        <v>228</v>
      </c>
    </row>
    <row r="19" customFormat="false" ht="15" hidden="false" customHeight="true" outlineLevel="0" collapsed="false">
      <c r="B19" s="66" t="s">
        <v>226</v>
      </c>
      <c r="C19" s="14" t="s">
        <v>613</v>
      </c>
      <c r="D19" s="68" t="n">
        <v>3</v>
      </c>
      <c r="E19" s="68" t="n">
        <v>61</v>
      </c>
      <c r="F19" s="165" t="n">
        <v>0.762987012987013</v>
      </c>
      <c r="G19" s="166" t="n">
        <v>46.5</v>
      </c>
      <c r="H19" s="69" t="n">
        <v>9</v>
      </c>
      <c r="I19" s="69" t="s">
        <v>506</v>
      </c>
      <c r="J19" s="70" t="n">
        <f aca="false">IF($I19="","",IFERROR(LOOKUP(VALUE(LEFT($I19&amp;"",FIND("-",$I19&amp;"-")-1)),$C$32:$C$37,$D$32:$D$37),""))</f>
        <v>0</v>
      </c>
      <c r="K19" s="71"/>
      <c r="L19" s="72" t="str">
        <f aca="false">IF($K19="","n/a",IF($J19=$K19,"ok","MISMATCH"))</f>
        <v>n/a</v>
      </c>
      <c r="M19" s="144" t="n">
        <v>20000</v>
      </c>
      <c r="N19" s="16"/>
      <c r="P19" s="38" t="s">
        <v>226</v>
      </c>
    </row>
    <row r="20" customFormat="false" ht="15" hidden="false" customHeight="true" outlineLevel="0" collapsed="false">
      <c r="B20" s="39" t="s">
        <v>332</v>
      </c>
      <c r="C20" s="101" t="s">
        <v>1525</v>
      </c>
      <c r="D20" s="41" t="n">
        <v>3</v>
      </c>
      <c r="E20" s="41" t="n">
        <v>69</v>
      </c>
      <c r="F20" s="167" t="n">
        <v>0.551948051948052</v>
      </c>
      <c r="G20" s="168" t="n">
        <v>38.1</v>
      </c>
      <c r="H20" s="42" t="n">
        <v>10</v>
      </c>
      <c r="I20" s="42" t="s">
        <v>428</v>
      </c>
      <c r="J20" s="43" t="n">
        <f aca="false">IF($I20="","",IFERROR(LOOKUP(VALUE(LEFT($I20&amp;"",FIND("-",$I20&amp;"-")-1)),$C$32:$C$37,$D$32:$D$37),""))</f>
        <v>750</v>
      </c>
      <c r="K20" s="44" t="n">
        <v>750</v>
      </c>
      <c r="L20" s="45" t="str">
        <f aca="false">IF($K20="","n/a",IF($J20=$K20,"ok","MISMATCH"))</f>
        <v>ok</v>
      </c>
      <c r="M20" s="139" t="n">
        <v>180000</v>
      </c>
      <c r="N20" s="87"/>
      <c r="P20" s="38" t="s">
        <v>332</v>
      </c>
    </row>
    <row r="21" customFormat="false" ht="15" hidden="false" customHeight="true" outlineLevel="0" collapsed="false">
      <c r="B21" s="66" t="s">
        <v>202</v>
      </c>
      <c r="C21" s="14" t="s">
        <v>1526</v>
      </c>
      <c r="D21" s="68" t="n">
        <v>1</v>
      </c>
      <c r="E21" s="68" t="n">
        <v>88</v>
      </c>
      <c r="F21" s="165" t="n">
        <v>0.357142857142857</v>
      </c>
      <c r="G21" s="166" t="n">
        <v>31.4</v>
      </c>
      <c r="H21" s="69" t="n">
        <v>11</v>
      </c>
      <c r="I21" s="69" t="s">
        <v>506</v>
      </c>
      <c r="J21" s="70" t="n">
        <f aca="false">IF($I21="","",IFERROR(LOOKUP(VALUE(LEFT($I21&amp;"",FIND("-",$I21&amp;"-")-1)),$C$32:$C$37,$D$32:$D$37),""))</f>
        <v>0</v>
      </c>
      <c r="K21" s="71" t="n">
        <v>0</v>
      </c>
      <c r="L21" s="72" t="str">
        <f aca="false">IF($K21="","n/a",IF($J21=$K21,"ok","MISMATCH"))</f>
        <v>ok</v>
      </c>
      <c r="M21" s="144" t="n">
        <v>20000</v>
      </c>
      <c r="N21" s="16"/>
      <c r="P21" s="38" t="s">
        <v>202</v>
      </c>
    </row>
    <row r="22" customFormat="false" ht="15" hidden="false" customHeight="true" outlineLevel="0" collapsed="false">
      <c r="B22" s="66" t="s">
        <v>181</v>
      </c>
      <c r="C22" s="14" t="s">
        <v>1526</v>
      </c>
      <c r="D22" s="68" t="n">
        <v>2</v>
      </c>
      <c r="E22" s="68" t="n">
        <v>86</v>
      </c>
      <c r="F22" s="165" t="n">
        <v>0.357142857142857</v>
      </c>
      <c r="G22" s="166" t="n">
        <v>30.7</v>
      </c>
      <c r="H22" s="69" t="n">
        <v>12</v>
      </c>
      <c r="I22" s="69" t="s">
        <v>514</v>
      </c>
      <c r="J22" s="70" t="n">
        <f aca="false">IF($I22="","",IFERROR(LOOKUP(VALUE(LEFT($I22&amp;"",FIND("-",$I22&amp;"-")-1)),$C$32:$C$37,$D$32:$D$37),""))</f>
        <v>0</v>
      </c>
      <c r="K22" s="71" t="n">
        <v>0</v>
      </c>
      <c r="L22" s="72" t="str">
        <f aca="false">IF($K22="","n/a",IF($J22=$K22,"ok","MISMATCH"))</f>
        <v>ok</v>
      </c>
      <c r="M22" s="144" t="n">
        <v>10000</v>
      </c>
      <c r="N22" s="16"/>
      <c r="P22" s="38" t="s">
        <v>181</v>
      </c>
    </row>
    <row r="23" customFormat="false" ht="15" hidden="false" customHeight="true" outlineLevel="0" collapsed="false">
      <c r="B23" s="66" t="s">
        <v>360</v>
      </c>
      <c r="C23" s="14" t="s">
        <v>1527</v>
      </c>
      <c r="D23" s="68" t="n">
        <v>1</v>
      </c>
      <c r="E23" s="68" t="n">
        <v>101</v>
      </c>
      <c r="F23" s="165" t="n">
        <v>0.227272727272727</v>
      </c>
      <c r="G23" s="166" t="n">
        <v>23</v>
      </c>
      <c r="H23" s="69" t="n">
        <v>13</v>
      </c>
      <c r="I23" s="69" t="s">
        <v>514</v>
      </c>
      <c r="J23" s="70" t="n">
        <f aca="false">IF($I23="","",IFERROR(LOOKUP(VALUE(LEFT($I23&amp;"",FIND("-",$I23&amp;"-")-1)),$C$32:$C$37,$D$32:$D$37),""))</f>
        <v>0</v>
      </c>
      <c r="K23" s="71"/>
      <c r="L23" s="72" t="str">
        <f aca="false">IF($K23="","n/a",IF($J23=$K23,"ok","MISMATCH"))</f>
        <v>n/a</v>
      </c>
      <c r="M23" s="144" t="n">
        <v>10000</v>
      </c>
      <c r="N23" s="16" t="s">
        <v>1528</v>
      </c>
      <c r="P23" s="38" t="s">
        <v>360</v>
      </c>
    </row>
    <row r="24" customFormat="false" ht="15" hidden="false" customHeight="true" outlineLevel="0" collapsed="false">
      <c r="B24" s="66" t="s">
        <v>336</v>
      </c>
      <c r="C24" s="14" t="s">
        <v>1529</v>
      </c>
      <c r="D24" s="68" t="n">
        <v>1</v>
      </c>
      <c r="E24" s="68" t="n">
        <v>78</v>
      </c>
      <c r="F24" s="165" t="n">
        <v>0.292207792207792</v>
      </c>
      <c r="G24" s="166" t="n">
        <v>22.8</v>
      </c>
      <c r="H24" s="69" t="n">
        <v>14</v>
      </c>
      <c r="I24" s="69" t="s">
        <v>514</v>
      </c>
      <c r="J24" s="70" t="n">
        <f aca="false">IF($I24="","",IFERROR(LOOKUP(VALUE(LEFT($I24&amp;"",FIND("-",$I24&amp;"-")-1)),$C$32:$C$37,$D$32:$D$37),""))</f>
        <v>0</v>
      </c>
      <c r="K24" s="71" t="n">
        <v>0</v>
      </c>
      <c r="L24" s="72" t="str">
        <f aca="false">IF($K24="","n/a",IF($J24=$K24,"ok","MISMATCH"))</f>
        <v>ok</v>
      </c>
      <c r="M24" s="144" t="n">
        <v>10000</v>
      </c>
      <c r="N24" s="16"/>
      <c r="P24" s="38" t="s">
        <v>336</v>
      </c>
    </row>
    <row r="25" customFormat="false" ht="15" hidden="false" customHeight="true" outlineLevel="0" collapsed="false">
      <c r="B25" s="66" t="s">
        <v>1530</v>
      </c>
      <c r="C25" s="14" t="s">
        <v>1133</v>
      </c>
      <c r="D25" s="68" t="n">
        <v>1</v>
      </c>
      <c r="E25" s="68" t="n">
        <v>96</v>
      </c>
      <c r="F25" s="165" t="n">
        <v>0.227272727272727</v>
      </c>
      <c r="G25" s="166" t="n">
        <v>21.8</v>
      </c>
      <c r="H25" s="69" t="n">
        <v>15</v>
      </c>
      <c r="I25" s="69" t="s">
        <v>506</v>
      </c>
      <c r="J25" s="70" t="n">
        <f aca="false">IF($I25="","",IFERROR(LOOKUP(VALUE(LEFT($I25&amp;"",FIND("-",$I25&amp;"-")-1)),$C$32:$C$37,$D$32:$D$37),""))</f>
        <v>0</v>
      </c>
      <c r="K25" s="71"/>
      <c r="L25" s="72" t="str">
        <f aca="false">IF($K25="","n/a",IF($J25=$K25,"ok","MISMATCH"))</f>
        <v>n/a</v>
      </c>
      <c r="M25" s="144" t="n">
        <v>20000</v>
      </c>
      <c r="N25" s="16" t="s">
        <v>1531</v>
      </c>
      <c r="P25" s="38" t="s">
        <v>1530</v>
      </c>
    </row>
    <row r="26" customFormat="false" ht="15" hidden="false" customHeight="true" outlineLevel="0" collapsed="false">
      <c r="B26" s="66" t="s">
        <v>184</v>
      </c>
      <c r="C26" s="14" t="s">
        <v>1525</v>
      </c>
      <c r="D26" s="68" t="n">
        <v>5</v>
      </c>
      <c r="E26" s="68" t="n">
        <v>34</v>
      </c>
      <c r="F26" s="165" t="n">
        <v>0.551948051948052</v>
      </c>
      <c r="G26" s="166" t="n">
        <v>18.8</v>
      </c>
      <c r="H26" s="69" t="n">
        <v>16</v>
      </c>
      <c r="I26" s="69" t="s">
        <v>514</v>
      </c>
      <c r="J26" s="70" t="n">
        <f aca="false">IF($I26="","",IFERROR(LOOKUP(VALUE(LEFT($I26&amp;"",FIND("-",$I26&amp;"-")-1)),$C$32:$C$37,$D$32:$D$37),""))</f>
        <v>0</v>
      </c>
      <c r="K26" s="71" t="n">
        <v>0</v>
      </c>
      <c r="L26" s="72" t="str">
        <f aca="false">IF($K26="","n/a",IF($J26=$K26,"ok","MISMATCH"))</f>
        <v>ok</v>
      </c>
      <c r="M26" s="144" t="n">
        <v>10000</v>
      </c>
      <c r="N26" s="16"/>
      <c r="P26" s="38" t="s">
        <v>184</v>
      </c>
    </row>
    <row r="28" customFormat="false" ht="15" hidden="false" customHeight="true" outlineLevel="0" collapsed="false">
      <c r="B28" s="11" t="s">
        <v>459</v>
      </c>
      <c r="J28" s="77" t="n">
        <f aca="false">SUM(J11:J26)</f>
        <v>3350</v>
      </c>
    </row>
    <row r="29" customFormat="false" ht="15" hidden="false" customHeight="true" outlineLevel="0" collapsed="false">
      <c r="B29" s="18" t="s">
        <v>1532</v>
      </c>
    </row>
    <row r="30" customFormat="false" ht="15" hidden="false" customHeight="true" outlineLevel="0" collapsed="false">
      <c r="B30" s="11" t="s">
        <v>461</v>
      </c>
    </row>
    <row r="31" customFormat="false" ht="23.25" hidden="false" customHeight="true" outlineLevel="0" collapsed="false">
      <c r="B31" s="4" t="s">
        <v>463</v>
      </c>
      <c r="C31" s="4" t="s">
        <v>464</v>
      </c>
      <c r="D31" s="4" t="s">
        <v>465</v>
      </c>
    </row>
    <row r="32" customFormat="false" ht="15" hidden="false" customHeight="true" outlineLevel="0" collapsed="false">
      <c r="C32" s="13" t="n">
        <v>1</v>
      </c>
      <c r="D32" s="79" t="n">
        <v>1000</v>
      </c>
      <c r="E32" s="80" t="s">
        <v>466</v>
      </c>
    </row>
    <row r="33" customFormat="false" ht="15" hidden="false" customHeight="true" outlineLevel="0" collapsed="false">
      <c r="C33" s="13" t="n">
        <v>2</v>
      </c>
      <c r="D33" s="79" t="n">
        <v>750</v>
      </c>
      <c r="E33" s="80" t="s">
        <v>467</v>
      </c>
    </row>
    <row r="34" customFormat="false" ht="15" hidden="false" customHeight="true" outlineLevel="0" collapsed="false">
      <c r="C34" s="13" t="n">
        <v>3</v>
      </c>
      <c r="D34" s="79" t="n">
        <v>500</v>
      </c>
      <c r="E34" s="80" t="s">
        <v>468</v>
      </c>
    </row>
    <row r="35" customFormat="false" ht="15" hidden="false" customHeight="true" outlineLevel="0" collapsed="false">
      <c r="C35" s="13" t="n">
        <v>4</v>
      </c>
      <c r="D35" s="79" t="n">
        <v>300</v>
      </c>
      <c r="E35" s="80" t="s">
        <v>469</v>
      </c>
    </row>
    <row r="36" customFormat="false" ht="15" hidden="false" customHeight="true" outlineLevel="0" collapsed="false">
      <c r="C36" s="13" t="n">
        <v>5</v>
      </c>
      <c r="D36" s="79" t="n">
        <v>200</v>
      </c>
      <c r="E36" s="80" t="s">
        <v>537</v>
      </c>
    </row>
    <row r="37" customFormat="false" ht="15" hidden="false" customHeight="true" outlineLevel="0" collapsed="false">
      <c r="C37" s="13" t="n">
        <v>9</v>
      </c>
      <c r="D37" s="79" t="n">
        <v>0</v>
      </c>
      <c r="E37" s="80" t="s">
        <v>1055</v>
      </c>
    </row>
    <row r="40" customFormat="false" ht="15" hidden="false" customHeight="true" outlineLevel="0" collapsed="false">
      <c r="B40" s="11" t="s">
        <v>1533</v>
      </c>
    </row>
    <row r="41" customFormat="false" ht="15" hidden="false" customHeight="true" outlineLevel="0" collapsed="false">
      <c r="B41" s="3" t="s">
        <v>1534</v>
      </c>
      <c r="C41" s="3"/>
      <c r="D41" s="3"/>
      <c r="E41" s="3"/>
      <c r="F41" s="3"/>
      <c r="G41" s="3"/>
      <c r="H41" s="3"/>
      <c r="I41" s="3"/>
      <c r="J41" s="3"/>
      <c r="K41" s="3"/>
      <c r="L41" s="3"/>
      <c r="M41" s="3"/>
      <c r="N41" s="3"/>
    </row>
    <row r="42" customFormat="false" ht="15" hidden="false" customHeight="true" outlineLevel="0" collapsed="false">
      <c r="B42" s="3"/>
      <c r="C42" s="3"/>
      <c r="D42" s="3"/>
      <c r="E42" s="3"/>
      <c r="F42" s="3"/>
      <c r="G42" s="3"/>
      <c r="H42" s="3"/>
      <c r="I42" s="3"/>
      <c r="J42" s="3"/>
      <c r="K42" s="3"/>
      <c r="L42" s="3"/>
      <c r="M42" s="3"/>
      <c r="N42" s="3"/>
    </row>
    <row r="43" customFormat="false" ht="15" hidden="false" customHeight="true" outlineLevel="0" collapsed="false">
      <c r="B43" s="3"/>
      <c r="C43" s="3"/>
      <c r="D43" s="3"/>
      <c r="E43" s="3"/>
      <c r="F43" s="3"/>
      <c r="G43" s="3"/>
      <c r="H43" s="3"/>
      <c r="I43" s="3"/>
      <c r="J43" s="3"/>
      <c r="K43" s="3"/>
      <c r="L43" s="3"/>
      <c r="M43" s="3"/>
      <c r="N43" s="3"/>
    </row>
    <row r="44" customFormat="false" ht="15" hidden="false" customHeight="true" outlineLevel="0" collapsed="false">
      <c r="B44" s="3"/>
      <c r="C44" s="3"/>
      <c r="D44" s="3"/>
      <c r="E44" s="3"/>
      <c r="F44" s="3"/>
      <c r="G44" s="3"/>
      <c r="H44" s="3"/>
      <c r="I44" s="3"/>
      <c r="J44" s="3"/>
      <c r="K44" s="3"/>
      <c r="L44" s="3"/>
      <c r="M44" s="3"/>
      <c r="N44" s="3"/>
    </row>
    <row r="45" customFormat="false" ht="15" hidden="false" customHeight="true" outlineLevel="0" collapsed="false">
      <c r="B45" s="3"/>
      <c r="C45" s="3"/>
      <c r="D45" s="3"/>
      <c r="E45" s="3"/>
      <c r="F45" s="3"/>
      <c r="G45" s="3"/>
      <c r="H45" s="3"/>
      <c r="I45" s="3"/>
      <c r="J45" s="3"/>
      <c r="K45" s="3"/>
      <c r="L45" s="3"/>
      <c r="M45" s="3"/>
      <c r="N45" s="3"/>
    </row>
    <row r="46" customFormat="false" ht="15" hidden="false" customHeight="true" outlineLevel="0" collapsed="false">
      <c r="B46" s="3"/>
      <c r="C46" s="3"/>
      <c r="D46" s="3"/>
      <c r="E46" s="3"/>
      <c r="F46" s="3"/>
      <c r="G46" s="3"/>
      <c r="H46" s="3"/>
      <c r="I46" s="3"/>
      <c r="J46" s="3"/>
      <c r="K46" s="3"/>
      <c r="L46" s="3"/>
      <c r="M46" s="3"/>
      <c r="N46" s="3"/>
    </row>
    <row r="47" customFormat="false" ht="15" hidden="false" customHeight="true" outlineLevel="0" collapsed="false">
      <c r="B47" s="3"/>
      <c r="C47" s="3"/>
      <c r="D47" s="3"/>
      <c r="E47" s="3"/>
      <c r="F47" s="3"/>
      <c r="G47" s="3"/>
      <c r="H47" s="3"/>
      <c r="I47" s="3"/>
      <c r="J47" s="3"/>
      <c r="K47" s="3"/>
      <c r="L47" s="3"/>
      <c r="M47" s="3"/>
      <c r="N47" s="3"/>
    </row>
    <row r="48" customFormat="false" ht="15" hidden="false" customHeight="true" outlineLevel="0" collapsed="false">
      <c r="B48" s="3"/>
      <c r="C48" s="3"/>
      <c r="D48" s="3"/>
      <c r="E48" s="3"/>
      <c r="F48" s="3"/>
      <c r="G48" s="3"/>
      <c r="H48" s="3"/>
      <c r="I48" s="3"/>
      <c r="J48" s="3"/>
      <c r="K48" s="3"/>
      <c r="L48" s="3"/>
      <c r="M48" s="3"/>
      <c r="N48" s="3"/>
    </row>
    <row r="49" customFormat="false" ht="15" hidden="false" customHeight="true" outlineLevel="0" collapsed="false">
      <c r="B49" s="3"/>
      <c r="C49" s="3"/>
      <c r="D49" s="3"/>
      <c r="E49" s="3"/>
      <c r="F49" s="3"/>
      <c r="G49" s="3"/>
      <c r="H49" s="3"/>
      <c r="I49" s="3"/>
      <c r="J49" s="3"/>
      <c r="K49" s="3"/>
      <c r="L49" s="3"/>
      <c r="M49" s="3"/>
      <c r="N49" s="3"/>
    </row>
    <row r="51" customFormat="false" ht="34.5" hidden="false" customHeight="true" outlineLevel="0" collapsed="false">
      <c r="B51" s="4" t="s">
        <v>555</v>
      </c>
      <c r="C51" s="4" t="s">
        <v>1535</v>
      </c>
      <c r="D51" s="4" t="s">
        <v>1536</v>
      </c>
      <c r="E51" s="4" t="s">
        <v>1537</v>
      </c>
      <c r="F51" s="4" t="s">
        <v>1059</v>
      </c>
    </row>
    <row r="52" customFormat="false" ht="15" hidden="false" customHeight="true" outlineLevel="0" collapsed="false">
      <c r="B52" s="12" t="s">
        <v>1522</v>
      </c>
      <c r="C52" s="111" t="n">
        <v>15.4</v>
      </c>
      <c r="D52" s="169" t="n">
        <v>1</v>
      </c>
      <c r="E52" s="13" t="n">
        <f aca="false">COUNTIF($C$11:$C$26,$B52)</f>
        <v>4</v>
      </c>
      <c r="F52" s="13" t="n">
        <f aca="false">SUMPRODUCT(($C$11:$C$26=$B52)*($J$11:$J$26&gt;0))</f>
        <v>4</v>
      </c>
    </row>
    <row r="53" customFormat="false" ht="15" hidden="false" customHeight="true" outlineLevel="0" collapsed="false">
      <c r="B53" s="12" t="s">
        <v>613</v>
      </c>
      <c r="C53" s="111" t="n">
        <v>11.75</v>
      </c>
      <c r="D53" s="169" t="n">
        <v>0.762987012987013</v>
      </c>
      <c r="E53" s="13" t="n">
        <f aca="false">COUNTIF($C$11:$C$26,$B53)</f>
        <v>3</v>
      </c>
      <c r="F53" s="13" t="n">
        <f aca="false">SUMPRODUCT(($C$11:$C$26=$B53)*($J$11:$J$26&gt;0))</f>
        <v>2</v>
      </c>
    </row>
    <row r="54" customFormat="false" ht="15" hidden="false" customHeight="true" outlineLevel="0" collapsed="false">
      <c r="B54" s="12" t="s">
        <v>1525</v>
      </c>
      <c r="C54" s="111" t="n">
        <v>8.5</v>
      </c>
      <c r="D54" s="169" t="n">
        <v>0.551948051948052</v>
      </c>
      <c r="E54" s="13" t="n">
        <f aca="false">COUNTIF($C$11:$C$26,$B54)</f>
        <v>4</v>
      </c>
      <c r="F54" s="13" t="n">
        <f aca="false">SUMPRODUCT(($C$11:$C$26=$B54)*($J$11:$J$26&gt;0))</f>
        <v>2</v>
      </c>
    </row>
    <row r="55" customFormat="false" ht="15" hidden="false" customHeight="true" outlineLevel="0" collapsed="false">
      <c r="B55" s="12" t="s">
        <v>1526</v>
      </c>
      <c r="C55" s="111" t="n">
        <v>5.5</v>
      </c>
      <c r="D55" s="169" t="n">
        <v>0.357142857142857</v>
      </c>
      <c r="E55" s="13" t="n">
        <f aca="false">COUNTIF($C$11:$C$26,$B55)</f>
        <v>2</v>
      </c>
      <c r="F55" s="13" t="n">
        <f aca="false">SUMPRODUCT(($C$11:$C$26=$B55)*($J$11:$J$26&gt;0))</f>
        <v>0</v>
      </c>
    </row>
    <row r="56" customFormat="false" ht="15" hidden="false" customHeight="true" outlineLevel="0" collapsed="false">
      <c r="B56" s="12" t="s">
        <v>1529</v>
      </c>
      <c r="C56" s="111" t="n">
        <v>4.5</v>
      </c>
      <c r="D56" s="169" t="n">
        <v>0.292207792207792</v>
      </c>
      <c r="E56" s="13" t="n">
        <f aca="false">COUNTIF($C$11:$C$26,$B56)</f>
        <v>1</v>
      </c>
      <c r="F56" s="13" t="n">
        <f aca="false">SUMPRODUCT(($C$11:$C$26=$B56)*($J$11:$J$26&gt;0))</f>
        <v>0</v>
      </c>
    </row>
    <row r="57" customFormat="false" ht="15" hidden="false" customHeight="true" outlineLevel="0" collapsed="false">
      <c r="B57" s="12" t="s">
        <v>1133</v>
      </c>
      <c r="C57" s="111" t="n">
        <v>3.5</v>
      </c>
      <c r="D57" s="169" t="n">
        <v>0.227272727272727</v>
      </c>
      <c r="E57" s="13" t="n">
        <f aca="false">COUNTIF($C$11:$C$26,$B57)</f>
        <v>1</v>
      </c>
      <c r="F57" s="13" t="n">
        <f aca="false">SUMPRODUCT(($C$11:$C$26=$B57)*($J$11:$J$26&gt;0))</f>
        <v>0</v>
      </c>
    </row>
    <row r="58" customFormat="false" ht="15" hidden="false" customHeight="true" outlineLevel="0" collapsed="false">
      <c r="B58" s="12" t="s">
        <v>1527</v>
      </c>
      <c r="C58" s="111" t="n">
        <v>3.5</v>
      </c>
      <c r="D58" s="169" t="n">
        <v>0.227272727272727</v>
      </c>
      <c r="E58" s="13" t="n">
        <f aca="false">COUNTIF($C$11:$C$26,$B58)</f>
        <v>1</v>
      </c>
      <c r="F58" s="13" t="n">
        <f aca="false">SUMPRODUCT(($C$11:$C$26=$B58)*($J$11:$J$26&gt;0))</f>
        <v>0</v>
      </c>
    </row>
    <row r="60" customFormat="false" ht="15" hidden="false" customHeight="true" outlineLevel="0" collapsed="false">
      <c r="B60" s="18" t="s">
        <v>1538</v>
      </c>
    </row>
  </sheetData>
  <sheetProtection sheet="true" formatCells="false" selectLockedCells="true" selectUnlockedCells="true"/>
  <mergeCells count="1">
    <mergeCell ref="B41:N49"/>
  </mergeCells>
  <dataValidations count="1">
    <dataValidation allowBlank="true" error="Pick a placement from the list." errorStyle="stop" errorTitle="Use the dropdown" operator="between" showDropDown="false" showErrorMessage="false" showInputMessage="false" sqref="I11:I26" type="list">
      <formula1>"1,2,3,4,5-8,9-12,13-16"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12"/>
    <col collapsed="false" customWidth="true" hidden="false" outlineLevel="0" max="4" min="4" style="1" width="10"/>
    <col collapsed="false" customWidth="true" hidden="false" outlineLevel="0" max="7" min="5" style="1" width="12"/>
    <col collapsed="false" customWidth="true" hidden="false" outlineLevel="0" max="8" min="8" style="1" width="13"/>
    <col collapsed="false" customWidth="true" hidden="false" outlineLevel="0" max="9" min="9" style="1" width="11"/>
    <col collapsed="false" customWidth="true" hidden="false" outlineLevel="0" max="10" min="10" style="1" width="13"/>
    <col collapsed="false" customWidth="true" hidden="false" outlineLevel="0" max="11" min="11" style="1" width="34"/>
  </cols>
  <sheetData>
    <row r="2" customFormat="false" ht="18" hidden="false" customHeight="true" outlineLevel="0" collapsed="false">
      <c r="B2" s="2" t="s">
        <v>1539</v>
      </c>
    </row>
    <row r="3" customFormat="false" ht="15" hidden="false" customHeight="true" outlineLevel="0" collapsed="false">
      <c r="B3" s="93" t="s">
        <v>1540</v>
      </c>
    </row>
    <row r="5" customFormat="false" ht="15" hidden="false" customHeight="true" outlineLevel="0" collapsed="false">
      <c r="B5" s="27" t="s">
        <v>1541</v>
      </c>
      <c r="E5" s="27" t="s">
        <v>1542</v>
      </c>
      <c r="I5" s="27" t="s">
        <v>1543</v>
      </c>
    </row>
    <row r="6" customFormat="false" ht="15" hidden="false" customHeight="true" outlineLevel="0" collapsed="false">
      <c r="B6" s="28" t="s">
        <v>1544</v>
      </c>
      <c r="E6" s="28" t="s">
        <v>1545</v>
      </c>
      <c r="I6" s="28" t="n">
        <v>20000</v>
      </c>
    </row>
    <row r="8" customFormat="false" ht="15" hidden="false" customHeight="true" outlineLevel="0" collapsed="false">
      <c r="B8" s="11" t="s">
        <v>1546</v>
      </c>
    </row>
    <row r="9" customFormat="false" ht="15" hidden="false" customHeight="true" outlineLevel="0" collapsed="false">
      <c r="B9" s="18" t="s">
        <v>1547</v>
      </c>
    </row>
    <row r="10" customFormat="false" ht="34.5" hidden="false" customHeight="true" outlineLevel="0" collapsed="false">
      <c r="B10" s="4" t="s">
        <v>418</v>
      </c>
      <c r="C10" s="4" t="s">
        <v>1548</v>
      </c>
      <c r="D10" s="4" t="s">
        <v>1549</v>
      </c>
      <c r="E10" s="4" t="s">
        <v>1550</v>
      </c>
      <c r="F10" s="4" t="s">
        <v>1551</v>
      </c>
      <c r="G10" s="4" t="s">
        <v>1552</v>
      </c>
      <c r="H10" s="4" t="s">
        <v>1553</v>
      </c>
      <c r="I10" s="4" t="s">
        <v>1554</v>
      </c>
      <c r="J10" s="4" t="s">
        <v>1555</v>
      </c>
      <c r="K10" s="4" t="s">
        <v>1556</v>
      </c>
    </row>
    <row r="11" customFormat="false" ht="15" hidden="false" customHeight="true" outlineLevel="0" collapsed="false">
      <c r="B11" s="29" t="s">
        <v>114</v>
      </c>
      <c r="C11" s="170" t="n">
        <v>0.9993</v>
      </c>
      <c r="D11" s="170" t="n">
        <v>0.76795</v>
      </c>
      <c r="E11" s="171" t="n">
        <v>5222</v>
      </c>
      <c r="F11" s="33" t="n">
        <v>3650</v>
      </c>
      <c r="G11" s="34" t="n">
        <v>6900</v>
      </c>
      <c r="H11" s="33" t="n">
        <v>4600</v>
      </c>
      <c r="I11" s="36" t="n">
        <v>2</v>
      </c>
      <c r="J11" s="172" t="n">
        <f aca="false">IF($H11="","",$H11-$E11)</f>
        <v>-622</v>
      </c>
      <c r="K11" s="100" t="s">
        <v>1557</v>
      </c>
    </row>
    <row r="12" customFormat="false" ht="15" hidden="false" customHeight="true" outlineLevel="0" collapsed="false">
      <c r="B12" s="29" t="s">
        <v>127</v>
      </c>
      <c r="C12" s="170" t="n">
        <v>0.93555</v>
      </c>
      <c r="D12" s="170" t="n">
        <v>0.10765</v>
      </c>
      <c r="E12" s="171" t="n">
        <v>3371</v>
      </c>
      <c r="F12" s="33" t="n">
        <v>2000</v>
      </c>
      <c r="G12" s="34" t="n">
        <v>4800</v>
      </c>
      <c r="H12" s="33" t="n">
        <v>5300</v>
      </c>
      <c r="I12" s="36" t="n">
        <v>1</v>
      </c>
      <c r="J12" s="172" t="n">
        <f aca="false">IF($H12="","",$H12-$E12)</f>
        <v>1929</v>
      </c>
      <c r="K12" s="100" t="s">
        <v>1557</v>
      </c>
    </row>
    <row r="13" customFormat="false" ht="15" hidden="false" customHeight="true" outlineLevel="0" collapsed="false">
      <c r="B13" s="29" t="s">
        <v>119</v>
      </c>
      <c r="C13" s="170" t="n">
        <v>0.91645</v>
      </c>
      <c r="D13" s="170" t="n">
        <v>0.08995</v>
      </c>
      <c r="E13" s="171" t="n">
        <v>3206</v>
      </c>
      <c r="F13" s="33" t="n">
        <v>1850</v>
      </c>
      <c r="G13" s="34" t="n">
        <v>4600</v>
      </c>
      <c r="H13" s="33" t="n">
        <v>3300</v>
      </c>
      <c r="I13" s="36" t="n">
        <v>3</v>
      </c>
      <c r="J13" s="172" t="n">
        <f aca="false">IF($H13="","",$H13-$E13)</f>
        <v>94</v>
      </c>
      <c r="K13" s="100" t="s">
        <v>1557</v>
      </c>
    </row>
    <row r="14" customFormat="false" ht="15" hidden="false" customHeight="true" outlineLevel="0" collapsed="false">
      <c r="B14" s="57" t="s">
        <v>141</v>
      </c>
      <c r="C14" s="173" t="n">
        <v>0.76355</v>
      </c>
      <c r="D14" s="173" t="n">
        <v>0.0137</v>
      </c>
      <c r="E14" s="174" t="n">
        <v>2405</v>
      </c>
      <c r="F14" s="61" t="n">
        <v>1400</v>
      </c>
      <c r="G14" s="62" t="n">
        <v>3500</v>
      </c>
      <c r="H14" s="61" t="n">
        <v>2700</v>
      </c>
      <c r="I14" s="64" t="n">
        <v>5</v>
      </c>
      <c r="J14" s="175" t="n">
        <f aca="false">IF($H14="","",$H14-$E14)</f>
        <v>295</v>
      </c>
      <c r="K14" s="100" t="s">
        <v>1557</v>
      </c>
    </row>
    <row r="15" customFormat="false" ht="15" hidden="false" customHeight="true" outlineLevel="0" collapsed="false">
      <c r="B15" s="57" t="s">
        <v>157</v>
      </c>
      <c r="C15" s="173" t="n">
        <v>0.58585</v>
      </c>
      <c r="D15" s="173" t="n">
        <v>0.00755</v>
      </c>
      <c r="E15" s="174" t="n">
        <v>2040</v>
      </c>
      <c r="F15" s="61" t="n">
        <v>1000</v>
      </c>
      <c r="G15" s="62" t="n">
        <v>3200</v>
      </c>
      <c r="H15" s="61" t="n">
        <v>2150</v>
      </c>
      <c r="I15" s="64" t="n">
        <v>8</v>
      </c>
      <c r="J15" s="175" t="n">
        <f aca="false">IF($H15="","",$H15-$E15)</f>
        <v>110</v>
      </c>
      <c r="K15" s="100" t="s">
        <v>1557</v>
      </c>
    </row>
    <row r="16" customFormat="false" ht="15" hidden="false" customHeight="true" outlineLevel="0" collapsed="false">
      <c r="B16" s="29" t="s">
        <v>161</v>
      </c>
      <c r="C16" s="170" t="n">
        <v>0.47905</v>
      </c>
      <c r="D16" s="176" t="n">
        <v>0.0024</v>
      </c>
      <c r="E16" s="171" t="n">
        <v>1816</v>
      </c>
      <c r="F16" s="33" t="n">
        <v>900</v>
      </c>
      <c r="G16" s="34" t="n">
        <v>2850</v>
      </c>
      <c r="H16" s="33" t="n">
        <v>800</v>
      </c>
      <c r="I16" s="36" t="n">
        <v>35</v>
      </c>
      <c r="J16" s="172" t="n">
        <f aca="false">IF($H16="","",$H16-$E16)</f>
        <v>-1016</v>
      </c>
      <c r="K16" s="100" t="s">
        <v>1558</v>
      </c>
    </row>
    <row r="17" customFormat="false" ht="15" hidden="false" customHeight="true" outlineLevel="0" collapsed="false">
      <c r="B17" s="29" t="s">
        <v>134</v>
      </c>
      <c r="C17" s="170" t="n">
        <v>0.4563</v>
      </c>
      <c r="D17" s="176" t="n">
        <v>0.00435</v>
      </c>
      <c r="E17" s="171" t="n">
        <v>1766</v>
      </c>
      <c r="F17" s="33" t="n">
        <v>750</v>
      </c>
      <c r="G17" s="34" t="n">
        <v>2900</v>
      </c>
      <c r="H17" s="33" t="n">
        <v>1900</v>
      </c>
      <c r="I17" s="36" t="n">
        <v>9</v>
      </c>
      <c r="J17" s="172" t="n">
        <f aca="false">IF($H17="","",$H17-$E17)</f>
        <v>134</v>
      </c>
      <c r="K17" s="100" t="s">
        <v>1558</v>
      </c>
    </row>
    <row r="18" customFormat="false" ht="15" hidden="false" customHeight="true" outlineLevel="0" collapsed="false">
      <c r="B18" s="57" t="s">
        <v>123</v>
      </c>
      <c r="C18" s="173" t="n">
        <v>0.38975</v>
      </c>
      <c r="D18" s="173" t="n">
        <v>0.00325</v>
      </c>
      <c r="E18" s="174" t="n">
        <v>1641</v>
      </c>
      <c r="F18" s="61" t="n">
        <v>600</v>
      </c>
      <c r="G18" s="62" t="n">
        <v>2750</v>
      </c>
      <c r="H18" s="61" t="n">
        <v>2200</v>
      </c>
      <c r="I18" s="64" t="n">
        <v>7</v>
      </c>
      <c r="J18" s="175" t="n">
        <f aca="false">IF($H18="","",$H18-$E18)</f>
        <v>559</v>
      </c>
      <c r="K18" s="100" t="s">
        <v>1559</v>
      </c>
    </row>
    <row r="19" customFormat="false" ht="15" hidden="false" customHeight="true" outlineLevel="0" collapsed="false">
      <c r="B19" s="29" t="s">
        <v>173</v>
      </c>
      <c r="C19" s="170" t="n">
        <v>0.2324</v>
      </c>
      <c r="D19" s="176" t="n">
        <v>0.0003</v>
      </c>
      <c r="E19" s="171" t="n">
        <v>1288</v>
      </c>
      <c r="F19" s="33" t="n">
        <v>400</v>
      </c>
      <c r="G19" s="34" t="n">
        <v>2250</v>
      </c>
      <c r="H19" s="33" t="n">
        <v>1800</v>
      </c>
      <c r="I19" s="36" t="n">
        <v>10</v>
      </c>
      <c r="J19" s="172" t="n">
        <f aca="false">IF($H19="","",$H19-$E19)</f>
        <v>512</v>
      </c>
      <c r="K19" s="100" t="s">
        <v>1560</v>
      </c>
    </row>
    <row r="20" customFormat="false" ht="15" hidden="false" customHeight="true" outlineLevel="0" collapsed="false">
      <c r="B20" s="29" t="s">
        <v>150</v>
      </c>
      <c r="C20" s="170" t="n">
        <v>0.2311</v>
      </c>
      <c r="D20" s="176" t="n">
        <v>0.00035</v>
      </c>
      <c r="E20" s="171" t="n">
        <v>1308</v>
      </c>
      <c r="F20" s="33" t="n">
        <v>500</v>
      </c>
      <c r="G20" s="34" t="n">
        <v>2250</v>
      </c>
      <c r="H20" s="33" t="n">
        <v>1100</v>
      </c>
      <c r="I20" s="36" t="n">
        <v>18</v>
      </c>
      <c r="J20" s="172" t="n">
        <f aca="false">IF($H20="","",$H20-$E20)</f>
        <v>-208</v>
      </c>
      <c r="K20" s="100" t="s">
        <v>1560</v>
      </c>
    </row>
    <row r="21" customFormat="false" ht="15" hidden="false" customHeight="true" outlineLevel="0" collapsed="false">
      <c r="B21" s="57" t="s">
        <v>165</v>
      </c>
      <c r="C21" s="173" t="n">
        <v>0.22555</v>
      </c>
      <c r="D21" s="173" t="n">
        <v>0.0006</v>
      </c>
      <c r="E21" s="174" t="n">
        <v>1326</v>
      </c>
      <c r="F21" s="61" t="n">
        <v>500</v>
      </c>
      <c r="G21" s="62" t="n">
        <v>2200</v>
      </c>
      <c r="H21" s="61" t="n">
        <v>2950</v>
      </c>
      <c r="I21" s="64" t="n">
        <v>4</v>
      </c>
      <c r="J21" s="175" t="n">
        <f aca="false">IF($H21="","",$H21-$E21)</f>
        <v>1624</v>
      </c>
      <c r="K21" s="100" t="s">
        <v>1559</v>
      </c>
    </row>
    <row r="22" customFormat="false" ht="15" hidden="false" customHeight="true" outlineLevel="0" collapsed="false">
      <c r="B22" s="29" t="s">
        <v>163</v>
      </c>
      <c r="C22" s="170" t="n">
        <v>0.2193</v>
      </c>
      <c r="D22" s="176" t="n">
        <v>0.00065</v>
      </c>
      <c r="E22" s="171" t="n">
        <v>1280</v>
      </c>
      <c r="F22" s="33" t="n">
        <v>400</v>
      </c>
      <c r="G22" s="34" t="n">
        <v>2250</v>
      </c>
      <c r="H22" s="33" t="n">
        <v>850</v>
      </c>
      <c r="I22" s="36" t="n">
        <v>34</v>
      </c>
      <c r="J22" s="172" t="n">
        <f aca="false">IF($H22="","",$H22-$E22)</f>
        <v>-430</v>
      </c>
      <c r="K22" s="100" t="s">
        <v>1561</v>
      </c>
    </row>
    <row r="23" customFormat="false" ht="15" hidden="false" customHeight="true" outlineLevel="0" collapsed="false">
      <c r="B23" s="29" t="s">
        <v>152</v>
      </c>
      <c r="C23" s="170" t="n">
        <v>0.18665</v>
      </c>
      <c r="D23" s="176" t="n">
        <v>0.0005</v>
      </c>
      <c r="E23" s="171" t="n">
        <v>1173</v>
      </c>
      <c r="F23" s="33" t="n">
        <v>300</v>
      </c>
      <c r="G23" s="34" t="n">
        <v>2150</v>
      </c>
      <c r="H23" s="33" t="n">
        <v>700</v>
      </c>
      <c r="I23" s="36" t="n">
        <v>45</v>
      </c>
      <c r="J23" s="172" t="n">
        <f aca="false">IF($H23="","",$H23-$E23)</f>
        <v>-473</v>
      </c>
      <c r="K23" s="100" t="s">
        <v>1561</v>
      </c>
    </row>
    <row r="24" customFormat="false" ht="15" hidden="false" customHeight="true" outlineLevel="0" collapsed="false">
      <c r="B24" s="29" t="s">
        <v>145</v>
      </c>
      <c r="C24" s="170" t="n">
        <v>0.1676</v>
      </c>
      <c r="D24" s="176" t="n">
        <v>0.00035</v>
      </c>
      <c r="E24" s="171" t="n">
        <v>1153</v>
      </c>
      <c r="F24" s="33" t="n">
        <v>400</v>
      </c>
      <c r="G24" s="34" t="n">
        <v>2100</v>
      </c>
      <c r="H24" s="33" t="n">
        <v>400</v>
      </c>
      <c r="I24" s="36" t="n">
        <v>58</v>
      </c>
      <c r="J24" s="172" t="n">
        <f aca="false">IF($H24="","",$H24-$E24)</f>
        <v>-753</v>
      </c>
      <c r="K24" s="100" t="s">
        <v>1561</v>
      </c>
    </row>
    <row r="25" customFormat="false" ht="15" hidden="false" customHeight="true" outlineLevel="0" collapsed="false">
      <c r="B25" s="29" t="s">
        <v>189</v>
      </c>
      <c r="C25" s="170" t="n">
        <v>0.1605</v>
      </c>
      <c r="D25" s="176" t="n">
        <v>0.00015</v>
      </c>
      <c r="E25" s="171" t="n">
        <v>1131</v>
      </c>
      <c r="F25" s="33" t="n">
        <v>350</v>
      </c>
      <c r="G25" s="34" t="n">
        <v>2000</v>
      </c>
      <c r="H25" s="33" t="n">
        <v>700</v>
      </c>
      <c r="I25" s="36" t="n">
        <v>44</v>
      </c>
      <c r="J25" s="172" t="n">
        <f aca="false">IF($H25="","",$H25-$E25)</f>
        <v>-431</v>
      </c>
      <c r="K25" s="100" t="s">
        <v>1561</v>
      </c>
    </row>
    <row r="26" customFormat="false" ht="15" hidden="false" customHeight="true" outlineLevel="0" collapsed="false">
      <c r="B26" s="29" t="s">
        <v>281</v>
      </c>
      <c r="C26" s="170" t="n">
        <v>0.12355</v>
      </c>
      <c r="D26" s="176" t="n">
        <v>0</v>
      </c>
      <c r="E26" s="171" t="n">
        <v>1113</v>
      </c>
      <c r="F26" s="33" t="n">
        <v>400</v>
      </c>
      <c r="G26" s="34" t="n">
        <v>1900</v>
      </c>
      <c r="H26" s="33" t="n">
        <v>1200</v>
      </c>
      <c r="I26" s="36" t="n">
        <v>16</v>
      </c>
      <c r="J26" s="172" t="n">
        <f aca="false">IF($H26="","",$H26-$E26)</f>
        <v>87</v>
      </c>
      <c r="K26" s="100" t="s">
        <v>1560</v>
      </c>
    </row>
    <row r="27" customFormat="false" ht="15" hidden="false" customHeight="true" outlineLevel="0" collapsed="false">
      <c r="B27" s="29" t="s">
        <v>208</v>
      </c>
      <c r="C27" s="170" t="n">
        <v>0.08795</v>
      </c>
      <c r="D27" s="176" t="n">
        <v>5E-005</v>
      </c>
      <c r="E27" s="171" t="n">
        <v>907</v>
      </c>
      <c r="F27" s="33" t="n">
        <v>200</v>
      </c>
      <c r="G27" s="34" t="n">
        <v>1750</v>
      </c>
      <c r="H27" s="33" t="n">
        <v>1500</v>
      </c>
      <c r="I27" s="36" t="n">
        <v>13</v>
      </c>
      <c r="J27" s="172" t="n">
        <f aca="false">IF($H27="","",$H27-$E27)</f>
        <v>593</v>
      </c>
      <c r="K27" s="100" t="s">
        <v>1560</v>
      </c>
    </row>
    <row r="28" customFormat="false" ht="15" hidden="false" customHeight="true" outlineLevel="0" collapsed="false">
      <c r="B28" s="29" t="s">
        <v>218</v>
      </c>
      <c r="C28" s="170" t="n">
        <v>0.0854</v>
      </c>
      <c r="D28" s="176" t="n">
        <v>5E-005</v>
      </c>
      <c r="E28" s="171" t="n">
        <v>1013</v>
      </c>
      <c r="F28" s="33" t="n">
        <v>400</v>
      </c>
      <c r="G28" s="34" t="n">
        <v>1750</v>
      </c>
      <c r="H28" s="33" t="n">
        <v>800</v>
      </c>
      <c r="I28" s="36" t="n">
        <v>36</v>
      </c>
      <c r="J28" s="172" t="n">
        <f aca="false">IF($H28="","",$H28-$E28)</f>
        <v>-213</v>
      </c>
      <c r="K28" s="100" t="s">
        <v>1561</v>
      </c>
    </row>
    <row r="29" customFormat="false" ht="15" hidden="false" customHeight="true" outlineLevel="0" collapsed="false">
      <c r="B29" s="29" t="s">
        <v>138</v>
      </c>
      <c r="C29" s="170" t="n">
        <v>0.0712</v>
      </c>
      <c r="D29" s="176" t="n">
        <v>0.00015</v>
      </c>
      <c r="E29" s="171" t="n">
        <v>768</v>
      </c>
      <c r="F29" s="33" t="n">
        <v>50</v>
      </c>
      <c r="G29" s="34" t="n">
        <v>1600</v>
      </c>
      <c r="H29" s="33" t="n">
        <v>500</v>
      </c>
      <c r="I29" s="36" t="n">
        <v>49</v>
      </c>
      <c r="J29" s="172" t="n">
        <f aca="false">IF($H29="","",$H29-$E29)</f>
        <v>-268</v>
      </c>
      <c r="K29" s="100" t="s">
        <v>1561</v>
      </c>
    </row>
    <row r="30" customFormat="false" ht="15" hidden="false" customHeight="true" outlineLevel="0" collapsed="false">
      <c r="B30" s="29" t="s">
        <v>202</v>
      </c>
      <c r="C30" s="170" t="n">
        <v>0.06975</v>
      </c>
      <c r="D30" s="176" t="n">
        <v>5E-005</v>
      </c>
      <c r="E30" s="171" t="n">
        <v>798</v>
      </c>
      <c r="F30" s="33" t="n">
        <v>200</v>
      </c>
      <c r="G30" s="34" t="n">
        <v>1650</v>
      </c>
      <c r="H30" s="33" t="n">
        <v>250</v>
      </c>
      <c r="I30" s="36" t="n">
        <v>67</v>
      </c>
      <c r="J30" s="172" t="n">
        <f aca="false">IF($H30="","",$H30-$E30)</f>
        <v>-548</v>
      </c>
      <c r="K30" s="100" t="s">
        <v>1561</v>
      </c>
    </row>
    <row r="31" customFormat="false" ht="15" hidden="false" customHeight="true" outlineLevel="0" collapsed="false">
      <c r="B31" s="29" t="s">
        <v>204</v>
      </c>
      <c r="C31" s="170" t="n">
        <v>0.064</v>
      </c>
      <c r="D31" s="176" t="n">
        <v>0</v>
      </c>
      <c r="E31" s="171" t="n">
        <v>858</v>
      </c>
      <c r="F31" s="33" t="n">
        <v>200</v>
      </c>
      <c r="G31" s="34" t="n">
        <v>1600</v>
      </c>
      <c r="H31" s="33" t="n">
        <v>650</v>
      </c>
      <c r="I31" s="36" t="n">
        <v>48</v>
      </c>
      <c r="J31" s="172" t="n">
        <f aca="false">IF($H31="","",$H31-$E31)</f>
        <v>-208</v>
      </c>
      <c r="K31" s="100" t="s">
        <v>1561</v>
      </c>
    </row>
    <row r="32" customFormat="false" ht="15" hidden="false" customHeight="true" outlineLevel="0" collapsed="false">
      <c r="B32" s="29" t="s">
        <v>197</v>
      </c>
      <c r="C32" s="170" t="n">
        <v>0.0404</v>
      </c>
      <c r="D32" s="176" t="n">
        <v>0</v>
      </c>
      <c r="E32" s="171" t="n">
        <v>696</v>
      </c>
      <c r="F32" s="33" t="n">
        <v>200</v>
      </c>
      <c r="G32" s="34" t="n">
        <v>1400</v>
      </c>
      <c r="H32" s="33" t="n">
        <v>950</v>
      </c>
      <c r="I32" s="36" t="n">
        <v>31</v>
      </c>
      <c r="J32" s="172" t="n">
        <f aca="false">IF($H32="","",$H32-$E32)</f>
        <v>254</v>
      </c>
      <c r="K32" s="100" t="s">
        <v>1561</v>
      </c>
    </row>
    <row r="33" customFormat="false" ht="15" hidden="false" customHeight="true" outlineLevel="0" collapsed="false">
      <c r="B33" s="29" t="s">
        <v>215</v>
      </c>
      <c r="C33" s="170" t="n">
        <v>0.039</v>
      </c>
      <c r="D33" s="176" t="n">
        <v>0</v>
      </c>
      <c r="E33" s="171" t="n">
        <v>664</v>
      </c>
      <c r="F33" s="33" t="n">
        <v>0</v>
      </c>
      <c r="G33" s="34" t="n">
        <v>1400</v>
      </c>
      <c r="H33" s="33" t="n">
        <v>1200</v>
      </c>
      <c r="I33" s="36" t="n">
        <v>17</v>
      </c>
      <c r="J33" s="172" t="n">
        <f aca="false">IF($H33="","",$H33-$E33)</f>
        <v>536</v>
      </c>
      <c r="K33" s="100" t="s">
        <v>1560</v>
      </c>
    </row>
    <row r="34" customFormat="false" ht="15" hidden="false" customHeight="true" outlineLevel="0" collapsed="false">
      <c r="B34" s="29" t="s">
        <v>193</v>
      </c>
      <c r="C34" s="170" t="n">
        <v>0.03195</v>
      </c>
      <c r="D34" s="176" t="n">
        <v>0</v>
      </c>
      <c r="E34" s="171" t="n">
        <v>630</v>
      </c>
      <c r="F34" s="33" t="n">
        <v>0</v>
      </c>
      <c r="G34" s="34" t="n">
        <v>1300</v>
      </c>
      <c r="H34" s="33" t="n">
        <v>700</v>
      </c>
      <c r="I34" s="36" t="n">
        <v>46</v>
      </c>
      <c r="J34" s="172" t="n">
        <f aca="false">IF($H34="","",$H34-$E34)</f>
        <v>70</v>
      </c>
      <c r="K34" s="100" t="s">
        <v>1561</v>
      </c>
    </row>
    <row r="35" customFormat="false" ht="15" hidden="false" customHeight="true" outlineLevel="0" collapsed="false">
      <c r="B35" s="29" t="s">
        <v>210</v>
      </c>
      <c r="C35" s="170" t="n">
        <v>0.0281</v>
      </c>
      <c r="D35" s="176" t="n">
        <v>0</v>
      </c>
      <c r="E35" s="171" t="n">
        <v>647</v>
      </c>
      <c r="F35" s="33" t="n">
        <v>100</v>
      </c>
      <c r="G35" s="34" t="n">
        <v>1250</v>
      </c>
      <c r="H35" s="33" t="n">
        <v>950</v>
      </c>
      <c r="I35" s="36" t="n">
        <v>32</v>
      </c>
      <c r="J35" s="172" t="n">
        <f aca="false">IF($H35="","",$H35-$E35)</f>
        <v>303</v>
      </c>
      <c r="K35" s="100" t="s">
        <v>1561</v>
      </c>
    </row>
    <row r="36" customFormat="false" ht="15" hidden="false" customHeight="true" outlineLevel="0" collapsed="false">
      <c r="B36" s="57" t="s">
        <v>175</v>
      </c>
      <c r="C36" s="173" t="n">
        <v>0.02805</v>
      </c>
      <c r="D36" s="173" t="n">
        <v>0</v>
      </c>
      <c r="E36" s="174" t="n">
        <v>653</v>
      </c>
      <c r="F36" s="61" t="n">
        <v>200</v>
      </c>
      <c r="G36" s="62" t="n">
        <v>1300</v>
      </c>
      <c r="H36" s="61" t="n">
        <v>2200</v>
      </c>
      <c r="I36" s="64" t="n">
        <v>6</v>
      </c>
      <c r="J36" s="175" t="n">
        <f aca="false">IF($H36="","",$H36-$E36)</f>
        <v>1547</v>
      </c>
      <c r="K36" s="100" t="s">
        <v>1559</v>
      </c>
    </row>
    <row r="37" customFormat="false" ht="15" hidden="false" customHeight="true" outlineLevel="0" collapsed="false">
      <c r="B37" s="29" t="s">
        <v>326</v>
      </c>
      <c r="C37" s="170" t="n">
        <v>0.02665</v>
      </c>
      <c r="D37" s="176" t="n">
        <v>0</v>
      </c>
      <c r="E37" s="171" t="n">
        <v>756</v>
      </c>
      <c r="F37" s="33" t="n">
        <v>200</v>
      </c>
      <c r="G37" s="34" t="n">
        <v>1250</v>
      </c>
      <c r="H37" s="33" t="n">
        <v>1050</v>
      </c>
      <c r="I37" s="36" t="n">
        <v>20</v>
      </c>
      <c r="J37" s="172" t="n">
        <f aca="false">IF($H37="","",$H37-$E37)</f>
        <v>294</v>
      </c>
      <c r="K37" s="100" t="s">
        <v>1560</v>
      </c>
    </row>
    <row r="38" customFormat="false" ht="15" hidden="false" customHeight="true" outlineLevel="0" collapsed="false">
      <c r="B38" s="29" t="s">
        <v>184</v>
      </c>
      <c r="C38" s="170" t="n">
        <v>0.02455</v>
      </c>
      <c r="D38" s="176" t="n">
        <v>0</v>
      </c>
      <c r="E38" s="171" t="n">
        <v>536</v>
      </c>
      <c r="F38" s="33" t="n">
        <v>0</v>
      </c>
      <c r="G38" s="34" t="n">
        <v>1200</v>
      </c>
      <c r="H38" s="33" t="n">
        <v>750</v>
      </c>
      <c r="I38" s="36" t="n">
        <v>37</v>
      </c>
      <c r="J38" s="172" t="n">
        <f aca="false">IF($H38="","",$H38-$E38)</f>
        <v>214</v>
      </c>
      <c r="K38" s="100" t="s">
        <v>1561</v>
      </c>
    </row>
    <row r="39" customFormat="false" ht="15" hidden="false" customHeight="true" outlineLevel="0" collapsed="false">
      <c r="B39" s="29" t="s">
        <v>181</v>
      </c>
      <c r="C39" s="170" t="n">
        <v>0.02455</v>
      </c>
      <c r="D39" s="176" t="n">
        <v>0</v>
      </c>
      <c r="E39" s="171" t="n">
        <v>526</v>
      </c>
      <c r="F39" s="33" t="n">
        <v>0</v>
      </c>
      <c r="G39" s="34" t="n">
        <v>1200</v>
      </c>
      <c r="H39" s="33" t="n">
        <v>1050</v>
      </c>
      <c r="I39" s="36" t="n">
        <v>19</v>
      </c>
      <c r="J39" s="172" t="n">
        <f aca="false">IF($H39="","",$H39-$E39)</f>
        <v>524</v>
      </c>
      <c r="K39" s="100" t="s">
        <v>1560</v>
      </c>
    </row>
    <row r="40" customFormat="false" ht="15" hidden="false" customHeight="true" outlineLevel="0" collapsed="false">
      <c r="B40" s="29" t="s">
        <v>195</v>
      </c>
      <c r="C40" s="170" t="n">
        <v>0.0236</v>
      </c>
      <c r="D40" s="176" t="n">
        <v>0</v>
      </c>
      <c r="E40" s="171" t="n">
        <v>505</v>
      </c>
      <c r="F40" s="33" t="n">
        <v>0</v>
      </c>
      <c r="G40" s="34" t="n">
        <v>1200</v>
      </c>
      <c r="H40" s="33" t="n">
        <v>1000</v>
      </c>
      <c r="I40" s="36" t="n">
        <v>21</v>
      </c>
      <c r="J40" s="172" t="n">
        <f aca="false">IF($H40="","",$H40-$E40)</f>
        <v>495</v>
      </c>
      <c r="K40" s="100" t="s">
        <v>1561</v>
      </c>
    </row>
    <row r="42" customFormat="false" ht="15" hidden="false" customHeight="true" outlineLevel="0" collapsed="false">
      <c r="B42" s="18" t="s">
        <v>1562</v>
      </c>
    </row>
    <row r="44" customFormat="false" ht="15" hidden="false" customHeight="true" outlineLevel="0" collapsed="false">
      <c r="B44" s="11" t="s">
        <v>1563</v>
      </c>
    </row>
    <row r="45" customFormat="false" ht="15" hidden="false" customHeight="true" outlineLevel="0" collapsed="false">
      <c r="B45" s="93" t="s">
        <v>1564</v>
      </c>
    </row>
    <row r="46" customFormat="false" ht="15" hidden="false" customHeight="true" outlineLevel="0" collapsed="false"/>
    <row r="47" customFormat="false" ht="15" hidden="false" customHeight="true" outlineLevel="0" collapsed="false">
      <c r="B47" s="4" t="s">
        <v>1565</v>
      </c>
      <c r="C47" s="4" t="s">
        <v>418</v>
      </c>
      <c r="D47" s="4" t="s">
        <v>1553</v>
      </c>
      <c r="E47" s="4" t="s">
        <v>1566</v>
      </c>
      <c r="F47" s="4" t="s">
        <v>1567</v>
      </c>
      <c r="G47" s="4" t="s">
        <v>1568</v>
      </c>
      <c r="H47" s="4" t="s">
        <v>1569</v>
      </c>
      <c r="I47" s="4" t="s">
        <v>1570</v>
      </c>
    </row>
    <row r="48" customFormat="false" ht="15" hidden="false" customHeight="true" outlineLevel="0" collapsed="false">
      <c r="B48" s="29" t="n">
        <v>1</v>
      </c>
      <c r="C48" s="98" t="s">
        <v>127</v>
      </c>
      <c r="D48" s="177" t="n">
        <v>5300</v>
      </c>
      <c r="E48" s="178" t="n">
        <v>0.10765</v>
      </c>
      <c r="F48" s="179" t="n">
        <v>0.6438</v>
      </c>
      <c r="G48" s="180" t="n">
        <v>0.93555</v>
      </c>
      <c r="H48" s="35" t="n">
        <v>3</v>
      </c>
      <c r="I48" s="34" t="n">
        <v>3371</v>
      </c>
    </row>
    <row r="49" customFormat="false" ht="15" hidden="false" customHeight="true" outlineLevel="0" collapsed="false">
      <c r="B49" s="29" t="n">
        <v>2</v>
      </c>
      <c r="C49" s="98" t="s">
        <v>114</v>
      </c>
      <c r="D49" s="177" t="n">
        <v>4600</v>
      </c>
      <c r="E49" s="178" t="n">
        <v>0.1564</v>
      </c>
      <c r="F49" s="179" t="n">
        <v>0.97365</v>
      </c>
      <c r="G49" s="180" t="n">
        <v>0.9993</v>
      </c>
      <c r="H49" s="35" t="n">
        <v>1</v>
      </c>
      <c r="I49" s="34" t="n">
        <v>5222</v>
      </c>
    </row>
    <row r="50" customFormat="false" ht="15" hidden="false" customHeight="true" outlineLevel="0" collapsed="false">
      <c r="B50" s="29" t="n">
        <v>3</v>
      </c>
      <c r="C50" s="98" t="s">
        <v>119</v>
      </c>
      <c r="D50" s="177" t="n">
        <v>3300</v>
      </c>
      <c r="E50" s="178" t="n">
        <v>0.2247</v>
      </c>
      <c r="F50" s="179" t="n">
        <v>0.5863</v>
      </c>
      <c r="G50" s="180" t="n">
        <v>0.91645</v>
      </c>
      <c r="H50" s="35" t="n">
        <v>3</v>
      </c>
      <c r="I50" s="34" t="n">
        <v>3206</v>
      </c>
    </row>
    <row r="51" customFormat="false" ht="15" hidden="false" customHeight="true" outlineLevel="0" collapsed="false">
      <c r="B51" s="57" t="n">
        <v>4</v>
      </c>
      <c r="C51" s="106" t="s">
        <v>165</v>
      </c>
      <c r="D51" s="181" t="n">
        <v>2950</v>
      </c>
      <c r="E51" s="182" t="n">
        <v>0.02775</v>
      </c>
      <c r="F51" s="183" t="n">
        <v>0.0207</v>
      </c>
      <c r="G51" s="184" t="n">
        <v>0.22555</v>
      </c>
      <c r="H51" s="63" t="n">
        <v>15</v>
      </c>
      <c r="I51" s="62" t="n">
        <v>1326</v>
      </c>
    </row>
    <row r="52" customFormat="false" ht="15" hidden="false" customHeight="true" outlineLevel="0" collapsed="false">
      <c r="B52" s="57" t="n">
        <v>5</v>
      </c>
      <c r="C52" s="106" t="s">
        <v>141</v>
      </c>
      <c r="D52" s="181" t="n">
        <v>2700</v>
      </c>
      <c r="E52" s="182" t="n">
        <v>0.1269</v>
      </c>
      <c r="F52" s="183" t="n">
        <v>0.2365</v>
      </c>
      <c r="G52" s="184" t="n">
        <v>0.76355</v>
      </c>
      <c r="H52" s="63" t="n">
        <v>5</v>
      </c>
      <c r="I52" s="62" t="n">
        <v>2405</v>
      </c>
    </row>
    <row r="53" customFormat="false" ht="15" hidden="false" customHeight="true" outlineLevel="0" collapsed="false">
      <c r="B53" s="57" t="n">
        <v>6</v>
      </c>
      <c r="C53" s="106" t="s">
        <v>175</v>
      </c>
      <c r="D53" s="181" t="n">
        <v>2200</v>
      </c>
      <c r="E53" s="182" t="n">
        <v>0.00625</v>
      </c>
      <c r="F53" s="183" t="n">
        <v>0.0003</v>
      </c>
      <c r="G53" s="184" t="n">
        <v>0.02805</v>
      </c>
      <c r="H53" s="63" t="n">
        <v>52</v>
      </c>
      <c r="I53" s="62" t="n">
        <v>653</v>
      </c>
    </row>
    <row r="54" customFormat="false" ht="15" hidden="false" customHeight="true" outlineLevel="0" collapsed="false">
      <c r="B54" s="57" t="n">
        <v>7</v>
      </c>
      <c r="C54" s="106" t="s">
        <v>123</v>
      </c>
      <c r="D54" s="181" t="n">
        <v>2200</v>
      </c>
      <c r="E54" s="182" t="n">
        <v>0.06255</v>
      </c>
      <c r="F54" s="183" t="n">
        <v>0.0726</v>
      </c>
      <c r="G54" s="184" t="n">
        <v>0.38975</v>
      </c>
      <c r="H54" s="63" t="n">
        <v>11</v>
      </c>
      <c r="I54" s="62" t="n">
        <v>1641</v>
      </c>
    </row>
    <row r="55" customFormat="false" ht="15" hidden="false" customHeight="true" outlineLevel="0" collapsed="false">
      <c r="B55" s="57" t="n">
        <v>8</v>
      </c>
      <c r="C55" s="106" t="s">
        <v>157</v>
      </c>
      <c r="D55" s="181" t="n">
        <v>2150</v>
      </c>
      <c r="E55" s="182" t="n">
        <v>0.06755</v>
      </c>
      <c r="F55" s="183" t="n">
        <v>0.13775</v>
      </c>
      <c r="G55" s="184" t="n">
        <v>0.58585</v>
      </c>
      <c r="H55" s="63" t="n">
        <v>7</v>
      </c>
      <c r="I55" s="62" t="n">
        <v>2040</v>
      </c>
    </row>
    <row r="56" customFormat="false" ht="15" hidden="false" customHeight="true" outlineLevel="0" collapsed="false"/>
    <row r="57" customFormat="false" ht="15" hidden="false" customHeight="true" outlineLevel="0" collapsed="false">
      <c r="B57" s="18" t="s">
        <v>1571</v>
      </c>
    </row>
    <row r="58" customFormat="false" ht="15" hidden="false" customHeight="true" outlineLevel="0" collapsed="false"/>
    <row r="59" customFormat="false" ht="15" hidden="false" customHeight="true" outlineLevel="0" collapsed="false">
      <c r="B59" s="11" t="s">
        <v>1572</v>
      </c>
    </row>
    <row r="60" customFormat="false" ht="15" hidden="false" customHeight="true" outlineLevel="0" collapsed="false">
      <c r="B60" s="28" t="s">
        <v>1573</v>
      </c>
    </row>
    <row r="61" customFormat="false" ht="15" hidden="false" customHeight="true" outlineLevel="0" collapsed="false">
      <c r="B61" s="185" t="s">
        <v>1574</v>
      </c>
      <c r="C61" s="185"/>
      <c r="D61" s="185"/>
      <c r="E61" s="185"/>
      <c r="F61" s="185"/>
      <c r="G61" s="185"/>
      <c r="H61" s="185"/>
      <c r="I61" s="185"/>
      <c r="J61" s="185"/>
      <c r="K61" s="185"/>
    </row>
    <row r="62" customFormat="false" ht="15" hidden="false" customHeight="true" outlineLevel="0" collapsed="false">
      <c r="B62" s="185"/>
      <c r="C62" s="185"/>
      <c r="D62" s="185"/>
      <c r="E62" s="185"/>
      <c r="F62" s="185"/>
      <c r="G62" s="185"/>
      <c r="H62" s="185"/>
      <c r="I62" s="185"/>
      <c r="J62" s="185"/>
      <c r="K62" s="185"/>
    </row>
    <row r="63" customFormat="false" ht="15" hidden="false" customHeight="true" outlineLevel="0" collapsed="false">
      <c r="B63" s="185"/>
      <c r="C63" s="185"/>
      <c r="D63" s="185"/>
      <c r="E63" s="185"/>
      <c r="F63" s="185"/>
      <c r="G63" s="185"/>
      <c r="H63" s="185"/>
      <c r="I63" s="185"/>
      <c r="J63" s="185"/>
      <c r="K63" s="185"/>
    </row>
    <row r="65" customFormat="false" ht="15" hidden="false" customHeight="true" outlineLevel="0" collapsed="false">
      <c r="B65" s="28" t="s">
        <v>1575</v>
      </c>
    </row>
    <row r="66" customFormat="false" ht="15" hidden="false" customHeight="true" outlineLevel="0" collapsed="false">
      <c r="B66" s="185" t="s">
        <v>1576</v>
      </c>
      <c r="C66" s="185"/>
      <c r="D66" s="185"/>
      <c r="E66" s="185"/>
      <c r="F66" s="185"/>
      <c r="G66" s="185"/>
      <c r="H66" s="185"/>
      <c r="I66" s="185"/>
      <c r="J66" s="185"/>
      <c r="K66" s="185"/>
    </row>
    <row r="67" customFormat="false" ht="15" hidden="false" customHeight="true" outlineLevel="0" collapsed="false">
      <c r="B67" s="185"/>
      <c r="C67" s="185"/>
      <c r="D67" s="185"/>
      <c r="E67" s="185"/>
      <c r="F67" s="185"/>
      <c r="G67" s="185"/>
      <c r="H67" s="185"/>
      <c r="I67" s="185"/>
      <c r="J67" s="185"/>
      <c r="K67" s="185"/>
    </row>
    <row r="68" customFormat="false" ht="15" hidden="false" customHeight="true" outlineLevel="0" collapsed="false">
      <c r="B68" s="185"/>
      <c r="C68" s="185"/>
      <c r="D68" s="185"/>
      <c r="E68" s="185"/>
      <c r="F68" s="185"/>
      <c r="G68" s="185"/>
      <c r="H68" s="185"/>
      <c r="I68" s="185"/>
      <c r="J68" s="185"/>
      <c r="K68" s="185"/>
    </row>
    <row r="69" customFormat="false" ht="15" hidden="false" customHeight="true" outlineLevel="0" collapsed="false">
      <c r="B69" s="93"/>
    </row>
    <row r="70" customFormat="false" ht="15" hidden="false" customHeight="true" outlineLevel="0" collapsed="false">
      <c r="B70" s="28" t="s">
        <v>1577</v>
      </c>
    </row>
    <row r="71" customFormat="false" ht="15" hidden="false" customHeight="true" outlineLevel="0" collapsed="false">
      <c r="B71" s="185" t="s">
        <v>1578</v>
      </c>
      <c r="C71" s="185"/>
      <c r="D71" s="185"/>
      <c r="E71" s="185"/>
      <c r="F71" s="185"/>
      <c r="G71" s="185"/>
      <c r="H71" s="185"/>
      <c r="I71" s="185"/>
      <c r="J71" s="185"/>
      <c r="K71" s="185"/>
    </row>
    <row r="72" customFormat="false" ht="15" hidden="false" customHeight="true" outlineLevel="0" collapsed="false">
      <c r="B72" s="185"/>
      <c r="C72" s="185"/>
      <c r="D72" s="185"/>
      <c r="E72" s="185"/>
      <c r="F72" s="185"/>
      <c r="G72" s="185"/>
      <c r="H72" s="185"/>
      <c r="I72" s="185"/>
      <c r="J72" s="185"/>
      <c r="K72" s="185"/>
    </row>
    <row r="73" customFormat="false" ht="15" hidden="false" customHeight="true" outlineLevel="0" collapsed="false">
      <c r="B73" s="185"/>
      <c r="C73" s="185"/>
      <c r="D73" s="185"/>
      <c r="E73" s="185"/>
      <c r="F73" s="185"/>
      <c r="G73" s="185"/>
      <c r="H73" s="185"/>
      <c r="I73" s="185"/>
      <c r="J73" s="185"/>
      <c r="K73" s="185"/>
    </row>
    <row r="75" customFormat="false" ht="15" hidden="false" customHeight="true" outlineLevel="0" collapsed="false">
      <c r="B75" s="28" t="s">
        <v>1579</v>
      </c>
    </row>
    <row r="76" customFormat="false" ht="15" hidden="false" customHeight="true" outlineLevel="0" collapsed="false">
      <c r="B76" s="185" t="s">
        <v>1580</v>
      </c>
      <c r="C76" s="185"/>
      <c r="D76" s="185"/>
      <c r="E76" s="185"/>
      <c r="F76" s="185"/>
      <c r="G76" s="185"/>
      <c r="H76" s="185"/>
      <c r="I76" s="185"/>
      <c r="J76" s="185"/>
      <c r="K76" s="185"/>
    </row>
    <row r="77" customFormat="false" ht="15" hidden="false" customHeight="true" outlineLevel="0" collapsed="false">
      <c r="B77" s="185"/>
      <c r="C77" s="185"/>
      <c r="D77" s="185"/>
      <c r="E77" s="185"/>
      <c r="F77" s="185"/>
      <c r="G77" s="185"/>
      <c r="H77" s="185"/>
      <c r="I77" s="185"/>
      <c r="J77" s="185"/>
      <c r="K77" s="185"/>
    </row>
    <row r="78" customFormat="false" ht="15" hidden="false" customHeight="true" outlineLevel="0" collapsed="false">
      <c r="B78" s="185"/>
      <c r="C78" s="185"/>
      <c r="D78" s="185"/>
      <c r="E78" s="185"/>
      <c r="F78" s="185"/>
      <c r="G78" s="185"/>
      <c r="H78" s="185"/>
      <c r="I78" s="185"/>
      <c r="J78" s="185"/>
      <c r="K78" s="185"/>
    </row>
    <row r="80" customFormat="false" ht="15" hidden="false" customHeight="true" outlineLevel="0" collapsed="false">
      <c r="B80" s="28" t="s">
        <v>1581</v>
      </c>
    </row>
    <row r="81" customFormat="false" ht="15" hidden="false" customHeight="true" outlineLevel="0" collapsed="false">
      <c r="B81" s="185" t="s">
        <v>1582</v>
      </c>
      <c r="C81" s="185"/>
      <c r="D81" s="185"/>
      <c r="E81" s="185"/>
      <c r="F81" s="185"/>
      <c r="G81" s="185"/>
      <c r="H81" s="185"/>
      <c r="I81" s="185"/>
      <c r="J81" s="185"/>
      <c r="K81" s="185"/>
    </row>
    <row r="82" customFormat="false" ht="15" hidden="false" customHeight="true" outlineLevel="0" collapsed="false">
      <c r="B82" s="185"/>
      <c r="C82" s="185"/>
      <c r="D82" s="185"/>
      <c r="E82" s="185"/>
      <c r="F82" s="185"/>
      <c r="G82" s="185"/>
      <c r="H82" s="185"/>
      <c r="I82" s="185"/>
      <c r="J82" s="185"/>
      <c r="K82" s="185"/>
    </row>
    <row r="83" customFormat="false" ht="15" hidden="false" customHeight="true" outlineLevel="0" collapsed="false">
      <c r="B83" s="185"/>
      <c r="C83" s="185"/>
      <c r="D83" s="185"/>
      <c r="E83" s="185"/>
      <c r="F83" s="185"/>
      <c r="G83" s="185"/>
      <c r="H83" s="185"/>
      <c r="I83" s="185"/>
      <c r="J83" s="185"/>
      <c r="K83" s="185"/>
    </row>
    <row r="85" customFormat="false" ht="15" hidden="false" customHeight="true" outlineLevel="0" collapsed="false">
      <c r="B85" s="28" t="s">
        <v>1583</v>
      </c>
    </row>
    <row r="86" customFormat="false" ht="15" hidden="false" customHeight="true" outlineLevel="0" collapsed="false">
      <c r="B86" s="185" t="s">
        <v>1584</v>
      </c>
      <c r="C86" s="185"/>
      <c r="D86" s="185"/>
      <c r="E86" s="185"/>
      <c r="F86" s="185"/>
      <c r="G86" s="185"/>
      <c r="H86" s="185"/>
      <c r="I86" s="185"/>
      <c r="J86" s="185"/>
      <c r="K86" s="185"/>
    </row>
    <row r="87" customFormat="false" ht="15" hidden="false" customHeight="true" outlineLevel="0" collapsed="false">
      <c r="B87" s="185"/>
      <c r="C87" s="185"/>
      <c r="D87" s="185"/>
      <c r="E87" s="185"/>
      <c r="F87" s="185"/>
      <c r="G87" s="185"/>
      <c r="H87" s="185"/>
      <c r="I87" s="185"/>
      <c r="J87" s="185"/>
      <c r="K87" s="185"/>
    </row>
    <row r="88" customFormat="false" ht="15" hidden="false" customHeight="true" outlineLevel="0" collapsed="false">
      <c r="B88" s="185"/>
      <c r="C88" s="185"/>
      <c r="D88" s="185"/>
      <c r="E88" s="185"/>
      <c r="F88" s="185"/>
      <c r="G88" s="185"/>
      <c r="H88" s="185"/>
      <c r="I88" s="185"/>
      <c r="J88" s="185"/>
      <c r="K88" s="185"/>
    </row>
    <row r="90" customFormat="false" ht="15" hidden="false" customHeight="true" outlineLevel="0" collapsed="false">
      <c r="B90" s="28" t="s">
        <v>1585</v>
      </c>
    </row>
    <row r="91" customFormat="false" ht="15" hidden="false" customHeight="true" outlineLevel="0" collapsed="false">
      <c r="B91" s="185" t="s">
        <v>1586</v>
      </c>
      <c r="C91" s="185"/>
      <c r="D91" s="185"/>
      <c r="E91" s="185"/>
      <c r="F91" s="185"/>
      <c r="G91" s="185"/>
      <c r="H91" s="185"/>
      <c r="I91" s="185"/>
      <c r="J91" s="185"/>
      <c r="K91" s="185"/>
    </row>
    <row r="92" customFormat="false" ht="15" hidden="false" customHeight="true" outlineLevel="0" collapsed="false">
      <c r="B92" s="185"/>
      <c r="C92" s="185"/>
      <c r="D92" s="185"/>
      <c r="E92" s="185"/>
      <c r="F92" s="185"/>
      <c r="G92" s="185"/>
      <c r="H92" s="185"/>
      <c r="I92" s="185"/>
      <c r="J92" s="185"/>
      <c r="K92" s="185"/>
    </row>
    <row r="93" customFormat="false" ht="15" hidden="false" customHeight="true" outlineLevel="0" collapsed="false">
      <c r="B93" s="185"/>
      <c r="C93" s="185"/>
      <c r="D93" s="185"/>
      <c r="E93" s="185"/>
      <c r="F93" s="185"/>
      <c r="G93" s="185"/>
      <c r="H93" s="185"/>
      <c r="I93" s="185"/>
      <c r="J93" s="185"/>
      <c r="K93" s="185"/>
    </row>
    <row r="95" customFormat="false" ht="15" hidden="false" customHeight="true" outlineLevel="0" collapsed="false">
      <c r="B95" s="28" t="s">
        <v>1587</v>
      </c>
    </row>
    <row r="96" customFormat="false" ht="15" hidden="false" customHeight="true" outlineLevel="0" collapsed="false">
      <c r="B96" s="185" t="s">
        <v>1588</v>
      </c>
      <c r="C96" s="185"/>
      <c r="D96" s="185"/>
      <c r="E96" s="185"/>
      <c r="F96" s="185"/>
      <c r="G96" s="185"/>
      <c r="H96" s="185"/>
      <c r="I96" s="185"/>
      <c r="J96" s="185"/>
      <c r="K96" s="185"/>
    </row>
    <row r="97" customFormat="false" ht="15" hidden="false" customHeight="true" outlineLevel="0" collapsed="false">
      <c r="B97" s="185"/>
      <c r="C97" s="185"/>
      <c r="D97" s="185"/>
      <c r="E97" s="185"/>
      <c r="F97" s="185"/>
      <c r="G97" s="185"/>
      <c r="H97" s="185"/>
      <c r="I97" s="185"/>
      <c r="J97" s="185"/>
      <c r="K97" s="185"/>
    </row>
    <row r="98" customFormat="false" ht="15" hidden="false" customHeight="true" outlineLevel="0" collapsed="false">
      <c r="B98" s="185"/>
      <c r="C98" s="185"/>
      <c r="D98" s="185"/>
      <c r="E98" s="185"/>
      <c r="F98" s="185"/>
      <c r="G98" s="185"/>
      <c r="H98" s="185"/>
      <c r="I98" s="185"/>
      <c r="J98" s="185"/>
      <c r="K98" s="185"/>
    </row>
    <row r="100" customFormat="false" ht="15" hidden="false" customHeight="true" outlineLevel="0" collapsed="false">
      <c r="B100" s="11" t="s">
        <v>1589</v>
      </c>
    </row>
    <row r="101" customFormat="false" ht="15" hidden="false" customHeight="true" outlineLevel="0" collapsed="false">
      <c r="B101" s="185" t="s">
        <v>1590</v>
      </c>
      <c r="C101" s="185"/>
      <c r="D101" s="185"/>
      <c r="E101" s="185"/>
      <c r="F101" s="185"/>
      <c r="G101" s="185"/>
      <c r="H101" s="185"/>
      <c r="I101" s="185"/>
      <c r="J101" s="185"/>
      <c r="K101" s="185"/>
    </row>
    <row r="102" customFormat="false" ht="15" hidden="false" customHeight="true" outlineLevel="0" collapsed="false">
      <c r="B102" s="185"/>
      <c r="C102" s="185"/>
      <c r="D102" s="185"/>
      <c r="E102" s="185"/>
      <c r="F102" s="185"/>
      <c r="G102" s="185"/>
      <c r="H102" s="185"/>
      <c r="I102" s="185"/>
      <c r="J102" s="185"/>
      <c r="K102" s="185"/>
    </row>
    <row r="103" customFormat="false" ht="15" hidden="false" customHeight="true" outlineLevel="0" collapsed="false">
      <c r="B103" s="185"/>
      <c r="C103" s="185"/>
      <c r="D103" s="185"/>
      <c r="E103" s="185"/>
      <c r="F103" s="185"/>
      <c r="G103" s="185"/>
      <c r="H103" s="185"/>
      <c r="I103" s="185"/>
      <c r="J103" s="185"/>
      <c r="K103" s="185"/>
    </row>
    <row r="104" customFormat="false" ht="15" hidden="false" customHeight="true" outlineLevel="0" collapsed="false">
      <c r="B104" s="185"/>
      <c r="C104" s="185"/>
      <c r="D104" s="185"/>
      <c r="E104" s="185"/>
      <c r="F104" s="185"/>
      <c r="G104" s="185"/>
      <c r="H104" s="185"/>
      <c r="I104" s="185"/>
      <c r="J104" s="185"/>
      <c r="K104" s="185"/>
    </row>
    <row r="109" customFormat="false" ht="15" hidden="false" customHeight="true" outlineLevel="0" collapsed="false">
      <c r="B109" s="185" t="s">
        <v>1591</v>
      </c>
      <c r="C109" s="185"/>
      <c r="D109" s="185"/>
      <c r="E109" s="185"/>
      <c r="F109" s="185"/>
      <c r="G109" s="185"/>
      <c r="H109" s="185"/>
      <c r="I109" s="185"/>
      <c r="J109" s="185"/>
      <c r="K109" s="185"/>
    </row>
    <row r="110" customFormat="false" ht="15" hidden="false" customHeight="true" outlineLevel="0" collapsed="false">
      <c r="B110" s="185"/>
      <c r="C110" s="185"/>
      <c r="D110" s="185"/>
      <c r="E110" s="185"/>
      <c r="F110" s="185"/>
      <c r="G110" s="185"/>
      <c r="H110" s="185"/>
      <c r="I110" s="185"/>
      <c r="J110" s="185"/>
      <c r="K110" s="185"/>
    </row>
    <row r="111" customFormat="false" ht="15" hidden="false" customHeight="true" outlineLevel="0" collapsed="false">
      <c r="B111" s="185"/>
      <c r="C111" s="185"/>
      <c r="D111" s="185"/>
      <c r="E111" s="185"/>
      <c r="F111" s="185"/>
      <c r="G111" s="185"/>
      <c r="H111" s="185"/>
      <c r="I111" s="185"/>
      <c r="J111" s="185"/>
      <c r="K111" s="185"/>
    </row>
    <row r="112" customFormat="false" ht="15" hidden="false" customHeight="true" outlineLevel="0" collapsed="false">
      <c r="B112" s="185"/>
      <c r="C112" s="185"/>
      <c r="D112" s="185"/>
      <c r="E112" s="185"/>
      <c r="F112" s="185"/>
      <c r="G112" s="185"/>
      <c r="H112" s="185"/>
      <c r="I112" s="185"/>
      <c r="J112" s="185"/>
      <c r="K112" s="185"/>
    </row>
    <row r="117" customFormat="false" ht="15" hidden="false" customHeight="true" outlineLevel="0" collapsed="false">
      <c r="B117" s="185" t="s">
        <v>1592</v>
      </c>
      <c r="C117" s="185"/>
      <c r="D117" s="185"/>
      <c r="E117" s="185"/>
      <c r="F117" s="185"/>
      <c r="G117" s="185"/>
      <c r="H117" s="185"/>
      <c r="I117" s="185"/>
      <c r="J117" s="185"/>
      <c r="K117" s="185"/>
    </row>
    <row r="118" customFormat="false" ht="15" hidden="false" customHeight="true" outlineLevel="0" collapsed="false">
      <c r="B118" s="185"/>
      <c r="C118" s="185"/>
      <c r="D118" s="185"/>
      <c r="E118" s="185"/>
      <c r="F118" s="185"/>
      <c r="G118" s="185"/>
      <c r="H118" s="185"/>
      <c r="I118" s="185"/>
      <c r="J118" s="185"/>
      <c r="K118" s="185"/>
    </row>
    <row r="119" customFormat="false" ht="15" hidden="false" customHeight="true" outlineLevel="0" collapsed="false">
      <c r="B119" s="185"/>
      <c r="C119" s="185"/>
      <c r="D119" s="185"/>
      <c r="E119" s="185"/>
      <c r="F119" s="185"/>
      <c r="G119" s="185"/>
      <c r="H119" s="185"/>
      <c r="I119" s="185"/>
      <c r="J119" s="185"/>
      <c r="K119" s="185"/>
    </row>
    <row r="120" customFormat="false" ht="15" hidden="false" customHeight="true" outlineLevel="0" collapsed="false">
      <c r="B120" s="185"/>
      <c r="C120" s="185"/>
      <c r="D120" s="185"/>
      <c r="E120" s="185"/>
      <c r="F120" s="185"/>
      <c r="G120" s="185"/>
      <c r="H120" s="185"/>
      <c r="I120" s="185"/>
      <c r="J120" s="185"/>
      <c r="K120" s="185"/>
    </row>
    <row r="125" customFormat="false" ht="15" hidden="false" customHeight="true" outlineLevel="0" collapsed="false">
      <c r="B125" s="185" t="s">
        <v>1593</v>
      </c>
      <c r="C125" s="185"/>
      <c r="D125" s="185"/>
      <c r="E125" s="185"/>
      <c r="F125" s="185"/>
      <c r="G125" s="185"/>
      <c r="H125" s="185"/>
      <c r="I125" s="185"/>
      <c r="J125" s="185"/>
      <c r="K125" s="185"/>
    </row>
    <row r="126" customFormat="false" ht="15" hidden="false" customHeight="true" outlineLevel="0" collapsed="false">
      <c r="B126" s="185"/>
      <c r="C126" s="185"/>
      <c r="D126" s="185"/>
      <c r="E126" s="185"/>
      <c r="F126" s="185"/>
      <c r="G126" s="185"/>
      <c r="H126" s="185"/>
      <c r="I126" s="185"/>
      <c r="J126" s="185"/>
      <c r="K126" s="185"/>
    </row>
    <row r="127" customFormat="false" ht="15" hidden="false" customHeight="true" outlineLevel="0" collapsed="false">
      <c r="B127" s="185"/>
      <c r="C127" s="185"/>
      <c r="D127" s="185"/>
      <c r="E127" s="185"/>
      <c r="F127" s="185"/>
      <c r="G127" s="185"/>
      <c r="H127" s="185"/>
      <c r="I127" s="185"/>
      <c r="J127" s="185"/>
      <c r="K127" s="185"/>
    </row>
    <row r="128" customFormat="false" ht="15" hidden="false" customHeight="true" outlineLevel="0" collapsed="false">
      <c r="B128" s="185"/>
      <c r="C128" s="185"/>
      <c r="D128" s="185"/>
      <c r="E128" s="185"/>
      <c r="F128" s="185"/>
      <c r="G128" s="185"/>
      <c r="H128" s="185"/>
      <c r="I128" s="185"/>
      <c r="J128" s="185"/>
      <c r="K128" s="185"/>
    </row>
    <row r="133" customFormat="false" ht="15" hidden="false" customHeight="true" outlineLevel="0" collapsed="false">
      <c r="B133" s="11" t="s">
        <v>1594</v>
      </c>
    </row>
    <row r="134" customFormat="false" ht="15" hidden="false" customHeight="true" outlineLevel="0" collapsed="false">
      <c r="B134" s="93" t="s">
        <v>1595</v>
      </c>
    </row>
    <row r="135" customFormat="false" ht="15" hidden="false" customHeight="true" outlineLevel="0" collapsed="false">
      <c r="B135" s="185" t="s">
        <v>1596</v>
      </c>
      <c r="C135" s="185"/>
      <c r="D135" s="185"/>
      <c r="E135" s="185"/>
      <c r="F135" s="185"/>
      <c r="G135" s="185"/>
      <c r="H135" s="185"/>
      <c r="I135" s="185"/>
      <c r="J135" s="185"/>
      <c r="K135" s="185"/>
    </row>
    <row r="136" customFormat="false" ht="15" hidden="false" customHeight="true" outlineLevel="0" collapsed="false">
      <c r="B136" s="185"/>
      <c r="C136" s="185"/>
      <c r="D136" s="185"/>
      <c r="E136" s="185"/>
      <c r="F136" s="185"/>
      <c r="G136" s="185"/>
      <c r="H136" s="185"/>
      <c r="I136" s="185"/>
      <c r="J136" s="185"/>
      <c r="K136" s="185"/>
    </row>
    <row r="137" customFormat="false" ht="15" hidden="false" customHeight="true" outlineLevel="0" collapsed="false">
      <c r="B137" s="185"/>
      <c r="C137" s="185"/>
      <c r="D137" s="185"/>
      <c r="E137" s="185"/>
      <c r="F137" s="185"/>
      <c r="G137" s="185"/>
      <c r="H137" s="185"/>
      <c r="I137" s="185"/>
      <c r="J137" s="185"/>
      <c r="K137" s="185"/>
    </row>
    <row r="138" customFormat="false" ht="15" hidden="false" customHeight="true" outlineLevel="0" collapsed="false">
      <c r="B138" s="185"/>
      <c r="C138" s="185"/>
      <c r="D138" s="185"/>
      <c r="E138" s="185"/>
      <c r="F138" s="185"/>
      <c r="G138" s="185"/>
      <c r="H138" s="185"/>
      <c r="I138" s="185"/>
      <c r="J138" s="185"/>
      <c r="K138" s="185"/>
    </row>
    <row r="139" customFormat="false" ht="15" hidden="false" customHeight="true" outlineLevel="0" collapsed="false">
      <c r="B139" s="93" t="s">
        <v>1597</v>
      </c>
    </row>
    <row r="140" customFormat="false" ht="15" hidden="false" customHeight="true" outlineLevel="0" collapsed="false">
      <c r="B140" s="93" t="s">
        <v>1598</v>
      </c>
    </row>
    <row r="141" customFormat="false" ht="15" hidden="false" customHeight="true" outlineLevel="0" collapsed="false">
      <c r="B141" s="93" t="s">
        <v>1599</v>
      </c>
    </row>
    <row r="142" customFormat="false" ht="15" hidden="false" customHeight="true" outlineLevel="0" collapsed="false">
      <c r="B142" s="93" t="s">
        <v>1600</v>
      </c>
    </row>
    <row r="143" customFormat="false" ht="15" hidden="false" customHeight="true" outlineLevel="0" collapsed="false">
      <c r="B143" s="93" t="s">
        <v>1601</v>
      </c>
    </row>
    <row r="146" customFormat="false" ht="15" hidden="false" customHeight="false" outlineLevel="0" collapsed="false">
      <c r="B146" s="11" t="s">
        <v>1602</v>
      </c>
    </row>
    <row r="147" customFormat="false" ht="15" hidden="false" customHeight="true" outlineLevel="0" collapsed="false">
      <c r="B147" s="185" t="s">
        <v>1603</v>
      </c>
      <c r="C147" s="185"/>
      <c r="D147" s="185"/>
      <c r="E147" s="185"/>
      <c r="F147" s="185"/>
      <c r="G147" s="185"/>
      <c r="H147" s="185"/>
      <c r="I147" s="185"/>
      <c r="J147" s="185"/>
      <c r="K147" s="185"/>
    </row>
    <row r="148" customFormat="false" ht="15" hidden="false" customHeight="false" outlineLevel="0" collapsed="false">
      <c r="B148" s="185"/>
      <c r="C148" s="185"/>
      <c r="D148" s="185"/>
      <c r="E148" s="185"/>
      <c r="F148" s="185"/>
      <c r="G148" s="185"/>
      <c r="H148" s="185"/>
      <c r="I148" s="185"/>
      <c r="J148" s="185"/>
      <c r="K148" s="185"/>
    </row>
    <row r="149" customFormat="false" ht="15" hidden="false" customHeight="false" outlineLevel="0" collapsed="false">
      <c r="B149" s="185"/>
      <c r="C149" s="185"/>
      <c r="D149" s="185"/>
      <c r="E149" s="185"/>
      <c r="F149" s="185"/>
      <c r="G149" s="185"/>
      <c r="H149" s="185"/>
      <c r="I149" s="185"/>
      <c r="J149" s="185"/>
      <c r="K149" s="185"/>
    </row>
    <row r="150" customFormat="false" ht="15" hidden="false" customHeight="false" outlineLevel="0" collapsed="false">
      <c r="B150" s="185"/>
      <c r="C150" s="185"/>
      <c r="D150" s="185"/>
      <c r="E150" s="185"/>
      <c r="F150" s="185"/>
      <c r="G150" s="185"/>
      <c r="H150" s="185"/>
      <c r="I150" s="185"/>
      <c r="J150" s="185"/>
      <c r="K150" s="185"/>
    </row>
    <row r="152" customFormat="false" ht="15" hidden="false" customHeight="true" outlineLevel="0" collapsed="false">
      <c r="B152" s="185" t="s">
        <v>1604</v>
      </c>
      <c r="C152" s="185"/>
      <c r="D152" s="185"/>
      <c r="E152" s="185"/>
      <c r="F152" s="185"/>
      <c r="G152" s="185"/>
      <c r="H152" s="185"/>
      <c r="I152" s="185"/>
      <c r="J152" s="185"/>
      <c r="K152" s="185"/>
    </row>
    <row r="153" customFormat="false" ht="15" hidden="false" customHeight="false" outlineLevel="0" collapsed="false">
      <c r="B153" s="185"/>
      <c r="C153" s="185"/>
      <c r="D153" s="185"/>
      <c r="E153" s="185"/>
      <c r="F153" s="185"/>
      <c r="G153" s="185"/>
      <c r="H153" s="185"/>
      <c r="I153" s="185"/>
      <c r="J153" s="185"/>
      <c r="K153" s="185"/>
    </row>
    <row r="154" customFormat="false" ht="15" hidden="false" customHeight="false" outlineLevel="0" collapsed="false">
      <c r="B154" s="185"/>
      <c r="C154" s="185"/>
      <c r="D154" s="185"/>
      <c r="E154" s="185"/>
      <c r="F154" s="185"/>
      <c r="G154" s="185"/>
      <c r="H154" s="185"/>
      <c r="I154" s="185"/>
      <c r="J154" s="185"/>
      <c r="K154" s="185"/>
    </row>
    <row r="155" customFormat="false" ht="15" hidden="false" customHeight="false" outlineLevel="0" collapsed="false">
      <c r="B155" s="185"/>
      <c r="C155" s="185"/>
      <c r="D155" s="185"/>
      <c r="E155" s="185"/>
      <c r="F155" s="185"/>
      <c r="G155" s="185"/>
      <c r="H155" s="185"/>
      <c r="I155" s="185"/>
      <c r="J155" s="185"/>
      <c r="K155" s="185"/>
    </row>
    <row r="157" customFormat="false" ht="15" hidden="false" customHeight="true" outlineLevel="0" collapsed="false">
      <c r="B157" s="185" t="s">
        <v>1605</v>
      </c>
      <c r="C157" s="185"/>
      <c r="D157" s="185"/>
      <c r="E157" s="185"/>
      <c r="F157" s="185"/>
      <c r="G157" s="185"/>
      <c r="H157" s="185"/>
      <c r="I157" s="185"/>
      <c r="J157" s="185"/>
      <c r="K157" s="185"/>
    </row>
    <row r="158" customFormat="false" ht="15" hidden="false" customHeight="false" outlineLevel="0" collapsed="false">
      <c r="B158" s="185"/>
      <c r="C158" s="185"/>
      <c r="D158" s="185"/>
      <c r="E158" s="185"/>
      <c r="F158" s="185"/>
      <c r="G158" s="185"/>
      <c r="H158" s="185"/>
      <c r="I158" s="185"/>
      <c r="J158" s="185"/>
      <c r="K158" s="185"/>
    </row>
    <row r="159" customFormat="false" ht="15" hidden="false" customHeight="false" outlineLevel="0" collapsed="false">
      <c r="B159" s="185"/>
      <c r="C159" s="185"/>
      <c r="D159" s="185"/>
      <c r="E159" s="185"/>
      <c r="F159" s="185"/>
      <c r="G159" s="185"/>
      <c r="H159" s="185"/>
      <c r="I159" s="185"/>
      <c r="J159" s="185"/>
      <c r="K159" s="185"/>
    </row>
    <row r="160" customFormat="false" ht="15" hidden="false" customHeight="false" outlineLevel="0" collapsed="false">
      <c r="B160" s="185"/>
      <c r="C160" s="185"/>
      <c r="D160" s="185"/>
      <c r="E160" s="185"/>
      <c r="F160" s="185"/>
      <c r="G160" s="185"/>
      <c r="H160" s="185"/>
      <c r="I160" s="185"/>
      <c r="J160" s="185"/>
      <c r="K160" s="185"/>
    </row>
    <row r="162" customFormat="false" ht="15" hidden="false" customHeight="true" outlineLevel="0" collapsed="false">
      <c r="B162" s="185" t="s">
        <v>1606</v>
      </c>
      <c r="C162" s="185"/>
      <c r="D162" s="185"/>
      <c r="E162" s="185"/>
      <c r="F162" s="185"/>
      <c r="G162" s="185"/>
      <c r="H162" s="185"/>
      <c r="I162" s="185"/>
      <c r="J162" s="185"/>
      <c r="K162" s="185"/>
    </row>
    <row r="163" customFormat="false" ht="15" hidden="false" customHeight="false" outlineLevel="0" collapsed="false">
      <c r="B163" s="185"/>
      <c r="C163" s="185"/>
      <c r="D163" s="185"/>
      <c r="E163" s="185"/>
      <c r="F163" s="185"/>
      <c r="G163" s="185"/>
      <c r="H163" s="185"/>
      <c r="I163" s="185"/>
      <c r="J163" s="185"/>
      <c r="K163" s="185"/>
    </row>
    <row r="164" customFormat="false" ht="15" hidden="false" customHeight="false" outlineLevel="0" collapsed="false">
      <c r="B164" s="185"/>
      <c r="C164" s="185"/>
      <c r="D164" s="185"/>
      <c r="E164" s="185"/>
      <c r="F164" s="185"/>
      <c r="G164" s="185"/>
      <c r="H164" s="185"/>
      <c r="I164" s="185"/>
      <c r="J164" s="185"/>
      <c r="K164" s="185"/>
    </row>
    <row r="165" customFormat="false" ht="15" hidden="false" customHeight="false" outlineLevel="0" collapsed="false">
      <c r="B165" s="185"/>
      <c r="C165" s="185"/>
      <c r="D165" s="185"/>
      <c r="E165" s="185"/>
      <c r="F165" s="185"/>
      <c r="G165" s="185"/>
      <c r="H165" s="185"/>
      <c r="I165" s="185"/>
      <c r="J165" s="185"/>
      <c r="K165" s="185"/>
    </row>
    <row r="167" customFormat="false" ht="23.85" hidden="false" customHeight="false" outlineLevel="0" collapsed="false">
      <c r="B167" s="4" t="s">
        <v>38</v>
      </c>
      <c r="C167" s="4" t="s">
        <v>39</v>
      </c>
      <c r="D167" s="4" t="s">
        <v>1607</v>
      </c>
      <c r="E167" s="4" t="s">
        <v>1608</v>
      </c>
      <c r="F167" s="4" t="s">
        <v>684</v>
      </c>
      <c r="G167" s="4" t="s">
        <v>1609</v>
      </c>
      <c r="H167" s="4" t="s">
        <v>1610</v>
      </c>
      <c r="I167" s="4" t="s">
        <v>1611</v>
      </c>
      <c r="J167" s="4" t="s">
        <v>1612</v>
      </c>
      <c r="K167" s="4" t="s">
        <v>1613</v>
      </c>
      <c r="L167" s="4" t="s">
        <v>1614</v>
      </c>
    </row>
    <row r="168" customFormat="false" ht="15" hidden="false" customHeight="false" outlineLevel="0" collapsed="false">
      <c r="B168" s="57" t="s">
        <v>45</v>
      </c>
      <c r="C168" s="106" t="n">
        <v>8</v>
      </c>
      <c r="D168" s="186" t="n">
        <v>0.16</v>
      </c>
      <c r="E168" s="60" t="s">
        <v>1615</v>
      </c>
      <c r="F168" s="61" t="n">
        <v>22</v>
      </c>
      <c r="G168" s="187" t="n">
        <v>294532.28</v>
      </c>
      <c r="H168" s="183" t="n">
        <v>0.451009998199446</v>
      </c>
      <c r="I168" s="184" t="n">
        <v>0.0454545454545455</v>
      </c>
      <c r="J168" s="188" t="n">
        <v>9.9222199603878</v>
      </c>
      <c r="K168" s="189" t="n">
        <v>781.3725</v>
      </c>
      <c r="L168" s="189" t="n">
        <v>0.03</v>
      </c>
    </row>
    <row r="169" customFormat="false" ht="15" hidden="false" customHeight="false" outlineLevel="0" collapsed="false">
      <c r="B169" s="57" t="s">
        <v>48</v>
      </c>
      <c r="C169" s="106" t="n">
        <v>22</v>
      </c>
      <c r="D169" s="186" t="n">
        <v>0.44</v>
      </c>
      <c r="E169" s="60" t="s">
        <v>1615</v>
      </c>
      <c r="F169" s="61" t="n">
        <v>32</v>
      </c>
      <c r="G169" s="187" t="n">
        <v>97.45</v>
      </c>
      <c r="H169" s="183" t="n">
        <v>0.138554073377158</v>
      </c>
      <c r="I169" s="184" t="n">
        <v>0.03125</v>
      </c>
      <c r="J169" s="188" t="n">
        <v>4.43373034806905</v>
      </c>
      <c r="K169" s="189" t="n">
        <v>374.405</v>
      </c>
      <c r="L169" s="189" t="n">
        <v>5.58</v>
      </c>
    </row>
    <row r="170" customFormat="false" ht="15" hidden="false" customHeight="false" outlineLevel="0" collapsed="false">
      <c r="B170" s="57" t="s">
        <v>50</v>
      </c>
      <c r="C170" s="106" t="n">
        <v>26</v>
      </c>
      <c r="D170" s="186" t="n">
        <v>0.52</v>
      </c>
      <c r="E170" s="60" t="s">
        <v>1615</v>
      </c>
      <c r="F170" s="61" t="n">
        <v>16</v>
      </c>
      <c r="G170" s="187" t="n">
        <v>48.17</v>
      </c>
      <c r="H170" s="183" t="n">
        <v>0.231361975860489</v>
      </c>
      <c r="I170" s="184" t="n">
        <v>0.0625</v>
      </c>
      <c r="J170" s="188" t="n">
        <v>3.70179161376783</v>
      </c>
      <c r="K170" s="189" t="n">
        <v>548.6025</v>
      </c>
      <c r="L170" s="189" t="n">
        <v>25.78</v>
      </c>
    </row>
    <row r="171" customFormat="false" ht="15" hidden="false" customHeight="false" outlineLevel="0" collapsed="false">
      <c r="B171" s="57" t="s">
        <v>52</v>
      </c>
      <c r="C171" s="106" t="n">
        <v>28</v>
      </c>
      <c r="D171" s="186" t="n">
        <v>0.56</v>
      </c>
      <c r="E171" s="60" t="s">
        <v>1615</v>
      </c>
      <c r="F171" s="61" t="n">
        <v>16</v>
      </c>
      <c r="G171" s="187" t="n">
        <v>36.53</v>
      </c>
      <c r="H171" s="183" t="n">
        <v>0.217964035501799</v>
      </c>
      <c r="I171" s="184" t="n">
        <v>0.0625</v>
      </c>
      <c r="J171" s="188" t="n">
        <v>3.48742456802878</v>
      </c>
      <c r="K171" s="189" t="n">
        <v>534.7875</v>
      </c>
      <c r="L171" s="189" t="n">
        <v>28.8525</v>
      </c>
    </row>
    <row r="172" customFormat="false" ht="15" hidden="false" customHeight="false" outlineLevel="0" collapsed="false">
      <c r="B172" s="57" t="s">
        <v>1616</v>
      </c>
      <c r="C172" s="106" t="n">
        <v>30</v>
      </c>
      <c r="D172" s="186" t="n">
        <v>0.6</v>
      </c>
      <c r="E172" s="60" t="s">
        <v>1615</v>
      </c>
      <c r="F172" s="61" t="n">
        <v>22</v>
      </c>
      <c r="G172" s="187" t="n">
        <v>28.74</v>
      </c>
      <c r="H172" s="183" t="n">
        <v>0.152298614166969</v>
      </c>
      <c r="I172" s="184" t="n">
        <v>0.0454545454545455</v>
      </c>
      <c r="J172" s="188" t="n">
        <v>3.35056951167331</v>
      </c>
      <c r="K172" s="189" t="n">
        <v>410.425</v>
      </c>
      <c r="L172" s="189" t="n">
        <v>22.825</v>
      </c>
    </row>
    <row r="173" customFormat="false" ht="15" hidden="false" customHeight="false" outlineLevel="0" collapsed="false">
      <c r="B173" s="57" t="s">
        <v>57</v>
      </c>
      <c r="C173" s="106" t="n">
        <v>32</v>
      </c>
      <c r="D173" s="186" t="n">
        <v>0.64</v>
      </c>
      <c r="E173" s="60" t="s">
        <v>1617</v>
      </c>
      <c r="F173" s="61" t="n">
        <v>20</v>
      </c>
      <c r="G173" s="187" t="n">
        <v>23.3</v>
      </c>
      <c r="H173" s="183" t="n">
        <v>0.165170584348569</v>
      </c>
      <c r="I173" s="184" t="n">
        <v>0.05</v>
      </c>
      <c r="J173" s="188" t="n">
        <v>3.30341168697137</v>
      </c>
      <c r="K173" s="189" t="n">
        <v>456.815</v>
      </c>
      <c r="L173" s="189" t="n">
        <v>33.2075</v>
      </c>
    </row>
    <row r="174" customFormat="false" ht="15" hidden="false" customHeight="false" outlineLevel="0" collapsed="false">
      <c r="B174" s="57" t="s">
        <v>1618</v>
      </c>
      <c r="C174" s="106" t="n">
        <v>34</v>
      </c>
      <c r="D174" s="186" t="n">
        <v>0.68</v>
      </c>
      <c r="E174" s="60" t="s">
        <v>1617</v>
      </c>
      <c r="F174" s="61" t="n">
        <v>16</v>
      </c>
      <c r="G174" s="187" t="n">
        <v>19.36</v>
      </c>
      <c r="H174" s="183" t="n">
        <v>0.206251249595373</v>
      </c>
      <c r="I174" s="184" t="n">
        <v>0.0625</v>
      </c>
      <c r="J174" s="188" t="n">
        <v>3.30001999352596</v>
      </c>
      <c r="K174" s="189" t="n">
        <v>523.71</v>
      </c>
      <c r="L174" s="189" t="n">
        <v>54.675</v>
      </c>
    </row>
    <row r="175" customFormat="false" ht="15" hidden="false" customHeight="false" outlineLevel="0" collapsed="false">
      <c r="B175" s="57" t="s">
        <v>62</v>
      </c>
      <c r="C175" s="106" t="n">
        <v>36</v>
      </c>
      <c r="D175" s="186" t="n">
        <v>0.72</v>
      </c>
      <c r="E175" s="60" t="s">
        <v>1615</v>
      </c>
      <c r="F175" s="61" t="n">
        <v>32</v>
      </c>
      <c r="G175" s="187" t="n">
        <v>16.42</v>
      </c>
      <c r="H175" s="183" t="n">
        <v>0.091404976410728</v>
      </c>
      <c r="I175" s="184" t="n">
        <v>0.03125</v>
      </c>
      <c r="J175" s="188" t="n">
        <v>2.9249592451433</v>
      </c>
      <c r="K175" s="189" t="n">
        <v>275.0075</v>
      </c>
      <c r="L175" s="189" t="n">
        <v>21.96</v>
      </c>
    </row>
    <row r="176" customFormat="false" ht="15" hidden="false" customHeight="false" outlineLevel="0" collapsed="false">
      <c r="B176" s="57" t="s">
        <v>64</v>
      </c>
      <c r="C176" s="106" t="n">
        <v>38</v>
      </c>
      <c r="D176" s="186" t="n">
        <v>0.76</v>
      </c>
      <c r="E176" s="60" t="s">
        <v>1617</v>
      </c>
      <c r="F176" s="61" t="n">
        <v>16</v>
      </c>
      <c r="G176" s="187" t="n">
        <v>14.17</v>
      </c>
      <c r="H176" s="183" t="n">
        <v>0.122997318232212</v>
      </c>
      <c r="I176" s="184" t="n">
        <v>0.0625</v>
      </c>
      <c r="J176" s="188" t="n">
        <v>1.9679570917154</v>
      </c>
      <c r="K176" s="189" t="n">
        <v>386.935</v>
      </c>
      <c r="L176" s="189" t="n">
        <v>41.1575</v>
      </c>
    </row>
    <row r="177" customFormat="false" ht="15" hidden="false" customHeight="false" outlineLevel="0" collapsed="false">
      <c r="B177" s="57" t="s">
        <v>1619</v>
      </c>
      <c r="C177" s="106" t="n">
        <v>40</v>
      </c>
      <c r="D177" s="186" t="n">
        <v>0.8</v>
      </c>
      <c r="E177" s="60" t="s">
        <v>1617</v>
      </c>
      <c r="F177" s="61" t="n">
        <v>16</v>
      </c>
      <c r="G177" s="187" t="n">
        <v>12.41</v>
      </c>
      <c r="H177" s="183" t="n">
        <v>0.11882179680095</v>
      </c>
      <c r="I177" s="184" t="n">
        <v>0.0625</v>
      </c>
      <c r="J177" s="188" t="n">
        <v>1.90114874881519</v>
      </c>
      <c r="K177" s="189" t="n">
        <v>368.6875</v>
      </c>
      <c r="L177" s="189" t="n">
        <v>45.0125</v>
      </c>
    </row>
    <row r="178" customFormat="false" ht="15" hidden="false" customHeight="false" outlineLevel="0" collapsed="false">
      <c r="B178" s="39" t="s">
        <v>1620</v>
      </c>
      <c r="C178" s="101" t="n">
        <v>45</v>
      </c>
      <c r="D178" s="190" t="n">
        <v>0.9</v>
      </c>
      <c r="E178" s="42" t="s">
        <v>1621</v>
      </c>
      <c r="F178" s="43" t="n">
        <v>32</v>
      </c>
      <c r="G178" s="191" t="n">
        <v>1</v>
      </c>
      <c r="H178" s="192" t="n">
        <v>0.03125</v>
      </c>
      <c r="I178" s="193" t="n">
        <v>0.03125</v>
      </c>
      <c r="J178" s="194" t="n">
        <v>1</v>
      </c>
      <c r="K178" s="195" t="n">
        <v>105.2</v>
      </c>
      <c r="L178" s="195" t="n">
        <v>0</v>
      </c>
    </row>
    <row r="179" customFormat="false" ht="15" hidden="false" customHeight="false" outlineLevel="0" collapsed="false">
      <c r="B179" s="57" t="s">
        <v>69</v>
      </c>
      <c r="C179" s="106" t="n">
        <v>45</v>
      </c>
      <c r="D179" s="186" t="n">
        <v>0.9</v>
      </c>
      <c r="E179" s="60" t="s">
        <v>1617</v>
      </c>
      <c r="F179" s="61" t="n">
        <v>16</v>
      </c>
      <c r="G179" s="187" t="n">
        <v>9.38</v>
      </c>
      <c r="H179" s="183" t="n">
        <v>0.12708997654584</v>
      </c>
      <c r="I179" s="184" t="n">
        <v>0.0625</v>
      </c>
      <c r="J179" s="188" t="n">
        <v>2.03343962473344</v>
      </c>
      <c r="K179" s="189" t="n">
        <v>376.8575</v>
      </c>
      <c r="L179" s="189" t="n">
        <v>57.0175</v>
      </c>
    </row>
    <row r="180" customFormat="false" ht="15" hidden="false" customHeight="false" outlineLevel="0" collapsed="false">
      <c r="B180" s="29" t="s">
        <v>75</v>
      </c>
      <c r="C180" s="98" t="n">
        <v>50</v>
      </c>
      <c r="D180" s="196" t="n">
        <v>1</v>
      </c>
      <c r="E180" s="32" t="s">
        <v>1615</v>
      </c>
      <c r="F180" s="33" t="n">
        <v>16</v>
      </c>
      <c r="G180" s="197" t="n">
        <v>7.5</v>
      </c>
      <c r="H180" s="179" t="n">
        <v>0.142282148950677</v>
      </c>
      <c r="I180" s="180" t="n">
        <v>0.0625</v>
      </c>
      <c r="J180" s="198" t="n">
        <v>2.27651438321084</v>
      </c>
      <c r="K180" s="199" t="n">
        <v>403.73</v>
      </c>
      <c r="L180" s="199" t="n">
        <v>76.45</v>
      </c>
    </row>
    <row r="181" customFormat="false" ht="15" hidden="false" customHeight="false" outlineLevel="0" collapsed="false">
      <c r="B181" s="29" t="s">
        <v>1622</v>
      </c>
      <c r="C181" s="98" t="n">
        <v>52</v>
      </c>
      <c r="D181" s="196" t="n">
        <v>1.04</v>
      </c>
      <c r="E181" s="32" t="s">
        <v>1615</v>
      </c>
      <c r="F181" s="33" t="n">
        <v>32</v>
      </c>
      <c r="G181" s="197" t="n">
        <v>6.94</v>
      </c>
      <c r="H181" s="179" t="n">
        <v>0.0527191963387065</v>
      </c>
      <c r="I181" s="180" t="n">
        <v>0.03125</v>
      </c>
      <c r="J181" s="198" t="n">
        <v>1.68701428283861</v>
      </c>
      <c r="K181" s="199" t="n">
        <v>170.7875</v>
      </c>
      <c r="L181" s="199" t="n">
        <v>25.8275</v>
      </c>
    </row>
    <row r="182" customFormat="false" ht="15" hidden="false" customHeight="false" outlineLevel="0" collapsed="false">
      <c r="B182" s="29" t="s">
        <v>77</v>
      </c>
      <c r="C182" s="98" t="n">
        <v>55</v>
      </c>
      <c r="D182" s="196" t="n">
        <v>1.1</v>
      </c>
      <c r="E182" s="32" t="s">
        <v>1615</v>
      </c>
      <c r="F182" s="33" t="n">
        <v>24</v>
      </c>
      <c r="G182" s="197" t="n">
        <v>6.24</v>
      </c>
      <c r="H182" s="179" t="n">
        <v>0.0898364754780803</v>
      </c>
      <c r="I182" s="180" t="n">
        <v>0.0416666666666667</v>
      </c>
      <c r="J182" s="198" t="n">
        <v>2.15607541147393</v>
      </c>
      <c r="K182" s="199" t="n">
        <v>277.0975</v>
      </c>
      <c r="L182" s="199" t="n">
        <v>52.065</v>
      </c>
    </row>
    <row r="183" customFormat="false" ht="15" hidden="false" customHeight="false" outlineLevel="0" collapsed="false">
      <c r="B183" s="29" t="s">
        <v>79</v>
      </c>
      <c r="C183" s="98" t="n">
        <v>58</v>
      </c>
      <c r="D183" s="196" t="n">
        <v>1.16</v>
      </c>
      <c r="E183" s="32" t="s">
        <v>1615</v>
      </c>
      <c r="F183" s="33" t="n">
        <v>32</v>
      </c>
      <c r="G183" s="197" t="n">
        <v>5.68</v>
      </c>
      <c r="H183" s="179" t="n">
        <v>0.039540954544321</v>
      </c>
      <c r="I183" s="180" t="n">
        <v>0.03125</v>
      </c>
      <c r="J183" s="198" t="n">
        <v>1.26531054541827</v>
      </c>
      <c r="K183" s="199" t="n">
        <v>130.365</v>
      </c>
      <c r="L183" s="199" t="n">
        <v>25.7975</v>
      </c>
    </row>
    <row r="184" customFormat="false" ht="15" hidden="false" customHeight="false" outlineLevel="0" collapsed="false">
      <c r="B184" s="29" t="s">
        <v>81</v>
      </c>
      <c r="C184" s="98" t="n">
        <v>60</v>
      </c>
      <c r="D184" s="196" t="n">
        <v>1.2</v>
      </c>
      <c r="E184" s="32" t="s">
        <v>1617</v>
      </c>
      <c r="F184" s="33" t="n">
        <v>25</v>
      </c>
      <c r="G184" s="197" t="n">
        <v>5.36</v>
      </c>
      <c r="H184" s="179" t="n">
        <v>0.108695175750062</v>
      </c>
      <c r="I184" s="180" t="n">
        <v>0.04</v>
      </c>
      <c r="J184" s="198" t="n">
        <v>2.71737939375154</v>
      </c>
      <c r="K184" s="199" t="n">
        <v>323.2625</v>
      </c>
      <c r="L184" s="199" t="n">
        <v>76.755</v>
      </c>
    </row>
    <row r="185" customFormat="false" ht="15" hidden="false" customHeight="false" outlineLevel="0" collapsed="false">
      <c r="B185" s="29" t="s">
        <v>83</v>
      </c>
      <c r="C185" s="98" t="n">
        <v>62</v>
      </c>
      <c r="D185" s="196" t="n">
        <v>1.24</v>
      </c>
      <c r="E185" s="32" t="s">
        <v>1617</v>
      </c>
      <c r="F185" s="33" t="n">
        <v>24</v>
      </c>
      <c r="G185" s="197" t="n">
        <v>2.43</v>
      </c>
      <c r="H185" s="179" t="n">
        <v>0.0634020836022989</v>
      </c>
      <c r="I185" s="180" t="n">
        <v>0.0416666666666667</v>
      </c>
      <c r="J185" s="198" t="n">
        <v>1.52165000645517</v>
      </c>
      <c r="K185" s="199" t="n">
        <v>187.9975</v>
      </c>
      <c r="L185" s="199" t="n">
        <v>85.325</v>
      </c>
    </row>
    <row r="186" customFormat="false" ht="15" hidden="false" customHeight="false" outlineLevel="0" collapsed="false">
      <c r="B186" s="29" t="s">
        <v>1623</v>
      </c>
      <c r="C186" s="98" t="n">
        <v>65</v>
      </c>
      <c r="D186" s="196" t="n">
        <v>1.3</v>
      </c>
      <c r="E186" s="32" t="s">
        <v>1617</v>
      </c>
      <c r="F186" s="33" t="n">
        <v>16</v>
      </c>
      <c r="G186" s="197" t="n">
        <v>2.33</v>
      </c>
      <c r="H186" s="179" t="n">
        <v>0.0920328766921523</v>
      </c>
      <c r="I186" s="180" t="n">
        <v>0.0625</v>
      </c>
      <c r="J186" s="198" t="n">
        <v>1.47252602707444</v>
      </c>
      <c r="K186" s="199" t="n">
        <v>292.4175</v>
      </c>
      <c r="L186" s="199" t="n">
        <v>144.585</v>
      </c>
    </row>
    <row r="187" customFormat="false" ht="15" hidden="false" customHeight="false" outlineLevel="0" collapsed="false">
      <c r="B187" s="29" t="s">
        <v>1624</v>
      </c>
      <c r="C187" s="98" t="n">
        <v>65</v>
      </c>
      <c r="D187" s="196" t="n">
        <v>1.3</v>
      </c>
      <c r="E187" s="32" t="s">
        <v>1615</v>
      </c>
      <c r="F187" s="33" t="n">
        <v>36</v>
      </c>
      <c r="G187" s="197" t="n">
        <v>4.71</v>
      </c>
      <c r="H187" s="179" t="n">
        <v>0.0543552516099758</v>
      </c>
      <c r="I187" s="180" t="n">
        <v>0.0277777777777778</v>
      </c>
      <c r="J187" s="198" t="n">
        <v>1.95678905795913</v>
      </c>
      <c r="K187" s="199" t="n">
        <v>172.9975</v>
      </c>
      <c r="L187" s="199" t="n">
        <v>41.7025</v>
      </c>
    </row>
    <row r="188" customFormat="false" ht="15" hidden="false" customHeight="false" outlineLevel="0" collapsed="false">
      <c r="B188" s="29" t="s">
        <v>95</v>
      </c>
      <c r="C188" s="98" t="n">
        <v>75</v>
      </c>
      <c r="D188" s="196" t="n">
        <v>1.5</v>
      </c>
      <c r="E188" s="32" t="s">
        <v>1615</v>
      </c>
      <c r="F188" s="33" t="n">
        <v>32</v>
      </c>
      <c r="G188" s="197" t="n">
        <v>3.83</v>
      </c>
      <c r="H188" s="179" t="n">
        <v>0.056535393604827</v>
      </c>
      <c r="I188" s="180" t="n">
        <v>0.03125</v>
      </c>
      <c r="J188" s="198" t="n">
        <v>1.80913259535446</v>
      </c>
      <c r="K188" s="199" t="n">
        <v>165.2625</v>
      </c>
      <c r="L188" s="199" t="n">
        <v>45.875</v>
      </c>
    </row>
    <row r="189" customFormat="false" ht="15" hidden="false" customHeight="false" outlineLevel="0" collapsed="false">
      <c r="B189" s="29" t="s">
        <v>91</v>
      </c>
      <c r="C189" s="98" t="n">
        <v>75</v>
      </c>
      <c r="D189" s="196" t="n">
        <v>1.5</v>
      </c>
      <c r="E189" s="32" t="s">
        <v>1617</v>
      </c>
      <c r="F189" s="33" t="n">
        <v>24</v>
      </c>
      <c r="G189" s="197" t="n">
        <v>3.83</v>
      </c>
      <c r="H189" s="179" t="n">
        <v>0.060205015800342</v>
      </c>
      <c r="I189" s="180" t="n">
        <v>0.0416666666666667</v>
      </c>
      <c r="J189" s="198" t="n">
        <v>1.44492037920821</v>
      </c>
      <c r="K189" s="199" t="n">
        <v>185.47</v>
      </c>
      <c r="L189" s="199" t="n">
        <v>53.905</v>
      </c>
    </row>
    <row r="190" customFormat="false" ht="15" hidden="false" customHeight="false" outlineLevel="0" collapsed="false">
      <c r="B190" s="39" t="s">
        <v>97</v>
      </c>
      <c r="C190" s="101" t="n">
        <v>78</v>
      </c>
      <c r="D190" s="190" t="n">
        <v>1.56</v>
      </c>
      <c r="E190" s="42" t="s">
        <v>1621</v>
      </c>
      <c r="F190" s="43" t="n">
        <v>32</v>
      </c>
      <c r="G190" s="191" t="n">
        <v>1</v>
      </c>
      <c r="H190" s="192" t="n">
        <v>0.03125</v>
      </c>
      <c r="I190" s="193" t="n">
        <v>0.03125</v>
      </c>
      <c r="J190" s="194" t="n">
        <v>1</v>
      </c>
      <c r="K190" s="195" t="n">
        <v>92.51</v>
      </c>
      <c r="L190" s="195" t="n">
        <v>0</v>
      </c>
    </row>
    <row r="191" customFormat="false" ht="15" hidden="false" customHeight="false" outlineLevel="0" collapsed="false">
      <c r="B191" s="39" t="s">
        <v>1625</v>
      </c>
      <c r="C191" s="101" t="n">
        <v>80</v>
      </c>
      <c r="D191" s="190" t="n">
        <v>1.6</v>
      </c>
      <c r="E191" s="42" t="s">
        <v>1621</v>
      </c>
      <c r="F191" s="43" t="n">
        <v>40</v>
      </c>
      <c r="G191" s="191" t="n">
        <v>1</v>
      </c>
      <c r="H191" s="192" t="n">
        <v>0.025</v>
      </c>
      <c r="I191" s="193" t="n">
        <v>0.025</v>
      </c>
      <c r="J191" s="194" t="n">
        <v>1</v>
      </c>
      <c r="K191" s="195" t="n">
        <v>76.0025</v>
      </c>
      <c r="L191" s="195" t="n">
        <v>0</v>
      </c>
    </row>
    <row r="192" customFormat="false" ht="15" hidden="false" customHeight="false" outlineLevel="0" collapsed="false">
      <c r="B192" s="29" t="s">
        <v>101</v>
      </c>
      <c r="C192" s="98" t="n">
        <v>82</v>
      </c>
      <c r="D192" s="196" t="n">
        <v>1.64</v>
      </c>
      <c r="E192" s="32" t="s">
        <v>1617</v>
      </c>
      <c r="F192" s="33" t="n">
        <v>40</v>
      </c>
      <c r="G192" s="197" t="n">
        <v>3.42</v>
      </c>
      <c r="H192" s="179" t="n">
        <v>0.0370121905552677</v>
      </c>
      <c r="I192" s="180" t="n">
        <v>0.025</v>
      </c>
      <c r="J192" s="198" t="n">
        <v>1.48048762221071</v>
      </c>
      <c r="K192" s="199" t="n">
        <v>111.405</v>
      </c>
      <c r="L192" s="199" t="n">
        <v>33.9925</v>
      </c>
    </row>
    <row r="194" customFormat="false" ht="15" hidden="false" customHeight="false" outlineLevel="0" collapsed="false">
      <c r="B194" s="18" t="s">
        <v>1626</v>
      </c>
    </row>
    <row r="195" customFormat="false" ht="15" hidden="false" customHeight="false" outlineLevel="0" collapsed="false">
      <c r="B195" s="18" t="s">
        <v>1627</v>
      </c>
    </row>
    <row r="196" customFormat="false" ht="15" hidden="false" customHeight="false" outlineLevel="0" collapsed="false">
      <c r="B196" s="18" t="s">
        <v>1628</v>
      </c>
    </row>
  </sheetData>
  <sheetProtection sheet="true"/>
  <mergeCells count="17">
    <mergeCell ref="B61:K63"/>
    <mergeCell ref="B66:K68"/>
    <mergeCell ref="B71:K73"/>
    <mergeCell ref="B76:K78"/>
    <mergeCell ref="B81:K83"/>
    <mergeCell ref="B86:K88"/>
    <mergeCell ref="B91:K93"/>
    <mergeCell ref="B96:K98"/>
    <mergeCell ref="B101:K104"/>
    <mergeCell ref="B109:K112"/>
    <mergeCell ref="B117:K120"/>
    <mergeCell ref="B125:K128"/>
    <mergeCell ref="B135:K138"/>
    <mergeCell ref="B147:K150"/>
    <mergeCell ref="B152:K155"/>
    <mergeCell ref="B157:K160"/>
    <mergeCell ref="B162:K1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E1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5" min="3" style="1" width="7"/>
    <col collapsed="false" customWidth="true" hidden="false" outlineLevel="0" max="6" min="6" style="1" width="10"/>
    <col collapsed="false" customWidth="true" hidden="false" outlineLevel="0" max="7" min="7" style="1" width="8"/>
    <col collapsed="false" customWidth="true" hidden="false" outlineLevel="0" max="8" min="8" style="1" width="10"/>
    <col collapsed="false" customWidth="true" hidden="false" outlineLevel="0" max="9" min="9" style="1" width="8"/>
    <col collapsed="false" customWidth="true" hidden="false" outlineLevel="0" max="10" min="10" style="1" width="9"/>
    <col collapsed="false" customWidth="true" hidden="false" outlineLevel="0" max="11" min="11" style="1" width="7"/>
    <col collapsed="false" customWidth="true" hidden="false" outlineLevel="0" max="12" min="12" style="1" width="8"/>
    <col collapsed="false" customWidth="true" hidden="false" outlineLevel="0" max="24" min="13" style="1" width="7"/>
    <col collapsed="false" customWidth="true" hidden="false" outlineLevel="0" max="27" min="25" style="1" width="13"/>
    <col collapsed="false" customWidth="true" hidden="false" outlineLevel="0" max="29" min="28" style="1" width="16"/>
    <col collapsed="false" customWidth="true" hidden="false" outlineLevel="0" max="30" min="30" style="1" width="12"/>
    <col collapsed="false" customWidth="true" hidden="false" outlineLevel="0" max="31" min="31" style="1" width="14"/>
  </cols>
  <sheetData>
    <row r="2" customFormat="false" ht="18" hidden="false" customHeight="true" outlineLevel="0" collapsed="false">
      <c r="B2" s="2" t="s">
        <v>1629</v>
      </c>
    </row>
    <row r="3" customFormat="false" ht="15" hidden="false" customHeight="true" outlineLevel="0" collapsed="false">
      <c r="B3" s="18" t="s">
        <v>1630</v>
      </c>
    </row>
    <row r="5" customFormat="false" ht="23.25" hidden="false" customHeight="true" outlineLevel="0" collapsed="false">
      <c r="B5" s="4" t="s">
        <v>418</v>
      </c>
      <c r="C5" s="4" t="s">
        <v>1622</v>
      </c>
      <c r="D5" s="4" t="s">
        <v>45</v>
      </c>
      <c r="E5" s="4" t="s">
        <v>1619</v>
      </c>
      <c r="F5" s="4" t="s">
        <v>97</v>
      </c>
      <c r="G5" s="4" t="s">
        <v>99</v>
      </c>
      <c r="H5" s="4" t="s">
        <v>48</v>
      </c>
      <c r="I5" s="4" t="s">
        <v>77</v>
      </c>
      <c r="J5" s="4" t="s">
        <v>62</v>
      </c>
      <c r="K5" s="4" t="s">
        <v>1631</v>
      </c>
      <c r="L5" s="4" t="s">
        <v>1632</v>
      </c>
      <c r="M5" s="4" t="s">
        <v>1623</v>
      </c>
      <c r="N5" s="4" t="s">
        <v>1633</v>
      </c>
      <c r="O5" s="4" t="s">
        <v>1634</v>
      </c>
      <c r="P5" s="4" t="s">
        <v>1635</v>
      </c>
      <c r="Q5" s="4" t="s">
        <v>1636</v>
      </c>
      <c r="R5" s="4" t="s">
        <v>1637</v>
      </c>
      <c r="S5" s="4" t="s">
        <v>1638</v>
      </c>
      <c r="T5" s="4" t="s">
        <v>1639</v>
      </c>
      <c r="U5" s="4" t="s">
        <v>1640</v>
      </c>
      <c r="V5" s="4" t="s">
        <v>1641</v>
      </c>
      <c r="W5" s="4" t="s">
        <v>1642</v>
      </c>
      <c r="X5" s="4" t="s">
        <v>1643</v>
      </c>
      <c r="Y5" s="4" t="s">
        <v>1644</v>
      </c>
      <c r="Z5" s="4" t="s">
        <v>83</v>
      </c>
      <c r="AA5" s="4" t="s">
        <v>1645</v>
      </c>
      <c r="AB5" s="4" t="s">
        <v>1646</v>
      </c>
      <c r="AC5" s="4" t="s">
        <v>1647</v>
      </c>
      <c r="AD5" s="4" t="s">
        <v>1648</v>
      </c>
      <c r="AE5" s="4" t="s">
        <v>1649</v>
      </c>
    </row>
    <row r="6" customFormat="false" ht="15" hidden="false" customHeight="true" outlineLevel="0" collapsed="false">
      <c r="B6" s="66" t="s">
        <v>127</v>
      </c>
      <c r="C6" s="130" t="n">
        <f aca="false">IFERROR(SUMIF(CS2!$L$11:$L$42,$B6,CS2!$F$11:$F$42),0)</f>
        <v>0</v>
      </c>
      <c r="D6" s="130" t="n">
        <f aca="false">IFERROR(SUMPRODUCT(MAX((Chess!$L$11:$L$32=$B6)*Chess!$F$11:$F$32)),0)</f>
        <v>750</v>
      </c>
      <c r="E6" s="130" t="n">
        <f aca="false">IFERROR(SUMPRODUCT(MAX((LoL!$L$11:$L$26=$B6)*LoL!$F$11:$F$26)),0)</f>
        <v>200</v>
      </c>
      <c r="F6" s="130" t="n">
        <f aca="false">IFERROR(SUMPRODUCT(MAX(('PUBG Mobile'!$L$11:$L$42=$B6)*'PUBG Mobile'!$F$11:$F$42)),0)</f>
        <v>0</v>
      </c>
      <c r="G6" s="130" t="n">
        <f aca="false">IFERROR(SUMPRODUCT(MAX(('Fortnite Reload'!$L$11:$L$50=$B6)*'Fortnite Reload'!$F$11:$F$50)),0)</f>
        <v>0</v>
      </c>
      <c r="H6" s="130" t="n">
        <f aca="false">IFERROR(SUMPRODUCT(MAX((Trackmania!$M$11:$M$42=$B6)*Trackmania!$G$11:$G$42)),0)</f>
        <v>1000</v>
      </c>
      <c r="I6" s="130" t="n">
        <f aca="false">IFERROR(SUMPRODUCT(MAX(('Dota 2'!$N$11:$N$34=$B6)*'Dota 2'!$H$11:$H$34)),0)</f>
        <v>0</v>
      </c>
      <c r="J6" s="130" t="n">
        <f aca="false">IFERROR(SUMPRODUCT(MAX(('Tekken 8'!$N$11:$N$42=$B6)*'Tekken 8'!$H$11:$H$42)),0)</f>
        <v>1000</v>
      </c>
      <c r="K6" s="130" t="n">
        <f aca="false">IFERROR(SUMPRODUCT(MAX(('Street Fighter 6'!$O$11:$O$42=$B6)*'Street Fighter 6'!$I$11:$I$42)),0)</f>
        <v>0</v>
      </c>
      <c r="L6" s="130" t="n">
        <f aca="false">IFERROR(SUMPRODUCT(MAX(('Fatal Fury CotW'!$L$11:$L$42=$B6)*'Fatal Fury CotW'!$F$11:$F$42)),0)</f>
        <v>0</v>
      </c>
      <c r="M6" s="130" t="n">
        <f aca="false">IFERROR(SUMPRODUCT(MAX((TFT!$N$11:$N$26=$B6)*TFT!$H$11:$H$26)),0)</f>
        <v>500</v>
      </c>
      <c r="N6" s="130" t="n">
        <f aca="false">IFERROR(SUMPRODUCT(MAX(('Rainbow Six'!$P$11:$P$32=$B6)*'Rainbow Six'!$J$11:$J$32)),0)</f>
        <v>0</v>
      </c>
      <c r="O6" s="130" t="n">
        <f aca="false">IFERROR(SUMPRODUCT(MAX((Warzone!$M$11:$M$42=$B6)*Warzone!$G$11:$G$42)),0)</f>
        <v>0</v>
      </c>
      <c r="P6" s="130" t="n">
        <f aca="false">IFERROR(SUMPRODUCT(MAX((Valorant!$N$11:$N$26=$B6)*Valorant!$H$11:$H$26)),0)</f>
        <v>0</v>
      </c>
      <c r="Q6" s="130" t="n">
        <f aca="false">IFERROR(SUMPRODUCT(MAX(('MLBB (MSC)'!$M$11:$M$35=$B6)*'MLBB (MSC)'!$G$11:$G$35)),0)</f>
        <v>0</v>
      </c>
      <c r="R6" s="130" t="n">
        <f aca="false">IFERROR(SUMPRODUCT(MAX(('Apex Legends'!$O$11:$O$50=$B6)*'Apex Legends'!$I$11:$I$50)),0)</f>
        <v>150</v>
      </c>
      <c r="S6" s="130" t="n">
        <f aca="false">IFERROR(SUMPRODUCT(MAX(('Honor of Kings'!$N$11:$N$30=$B6)*'Honor of Kings'!$H$11:$H$30)),0)</f>
        <v>750</v>
      </c>
      <c r="T6" s="130" t="n">
        <f aca="false">IFERROR(SUMPRODUCT(MAX((CrossFire!$L$11:$L$26=$B6)*CrossFire!$F$11:$F$26)),0)</f>
        <v>200</v>
      </c>
      <c r="U6" s="130" t="n">
        <f aca="false">IFERROR(SUMPRODUCT(MAX(('Free Fire'!$M$11:$M$34=$B6)*'Free Fire'!$G$11:$G$34)),0)</f>
        <v>750</v>
      </c>
      <c r="V6" s="130" t="n">
        <f aca="false">IFERROR(SUMPRODUCT(MAX(('EA FC 26'!$N$11:$N$46=$B6)*'EA FC 26'!$H$11:$H$46)),0)</f>
        <v>0</v>
      </c>
      <c r="W6" s="130" t="n">
        <f aca="false">IFERROR(SUMPRODUCT(MAX(('Black Ops 7'!$O$11:$O$26=$B6)*'Black Ops 7'!$J$11:$J$26)),0)</f>
        <v>0</v>
      </c>
      <c r="X6" s="130" t="n">
        <f aca="false">IFERROR(SUMPRODUCT(MAX(('Rocket League'!$P$11:$P$26=$B6)*'Rocket League'!$J$11:$J$26)),0)</f>
        <v>0</v>
      </c>
      <c r="Y6" s="130" t="n">
        <f aca="false">IFERROR(SUMPRODUCT(MAX(('Overwatch 2'!$L$11:$L$26=$B6)*'Overwatch 2'!$F$11:$F$26)),0)</f>
        <v>0</v>
      </c>
      <c r="Z6" s="130" t="n">
        <f aca="false">IFERROR(SUMPRODUCT(MAX((PUBG!$L$11:$L$34=$B6)*PUBG!$F$11:$F$34)),0)</f>
        <v>0</v>
      </c>
      <c r="AA6" s="130" t="n">
        <f aca="false">IFERROR(SUMPRODUCT(MAX(('MLBB Women'!$L$11:$L$26=$B6)*'MLBB Women'!$F$11:$F$26)),0)</f>
        <v>0</v>
      </c>
      <c r="AB6" s="130" t="n">
        <f aca="false">SUM(C6:AA6)</f>
        <v>5300</v>
      </c>
      <c r="AC6" s="130" t="n">
        <v>5300</v>
      </c>
      <c r="AD6" s="200" t="n">
        <f aca="false">AB6-AC6</f>
        <v>0</v>
      </c>
      <c r="AE6" s="82" t="str">
        <f aca="false">IF(AB6=0,"not started",IF(AD6=0,"reconciled",IF(AD6&gt;0,"CHECK NAMES","in progress")))</f>
        <v>reconciled</v>
      </c>
    </row>
    <row r="7" customFormat="false" ht="15" hidden="false" customHeight="true" outlineLevel="0" collapsed="false">
      <c r="B7" s="66" t="s">
        <v>114</v>
      </c>
      <c r="C7" s="130" t="n">
        <f aca="false">IFERROR(SUMIF(CS2!$L$11:$L$42,$B7,CS2!$F$11:$F$42),0)</f>
        <v>200</v>
      </c>
      <c r="D7" s="130" t="n">
        <f aca="false">IFERROR(SUMPRODUCT(MAX((Chess!$L$11:$L$32=$B7)*Chess!$F$11:$F$32)),0)</f>
        <v>500</v>
      </c>
      <c r="E7" s="130" t="n">
        <f aca="false">IFERROR(SUMPRODUCT(MAX((LoL!$L$11:$L$26=$B7)*LoL!$F$11:$F$26)),0)</f>
        <v>0</v>
      </c>
      <c r="F7" s="130" t="n">
        <f aca="false">IFERROR(SUMPRODUCT(MAX(('PUBG Mobile'!$L$11:$L$42=$B7)*'PUBG Mobile'!$F$11:$F$42)),0)</f>
        <v>0</v>
      </c>
      <c r="G7" s="130" t="n">
        <f aca="false">IFERROR(SUMPRODUCT(MAX(('Fortnite Reload'!$L$11:$L$50=$B7)*'Fortnite Reload'!$F$11:$F$50)),0)</f>
        <v>0</v>
      </c>
      <c r="H7" s="130" t="n">
        <f aca="false">IFERROR(SUMPRODUCT(MAX((Trackmania!$M$11:$M$42=$B7)*Trackmania!$G$11:$G$42)),0)</f>
        <v>0</v>
      </c>
      <c r="I7" s="130" t="n">
        <f aca="false">IFERROR(SUMPRODUCT(MAX(('Dota 2'!$N$11:$N$34=$B7)*'Dota 2'!$H$11:$H$34)),0)</f>
        <v>200</v>
      </c>
      <c r="J7" s="130" t="n">
        <f aca="false">IFERROR(SUMPRODUCT(MAX(('Tekken 8'!$N$11:$N$42=$B7)*'Tekken 8'!$H$11:$H$42)),0)</f>
        <v>200</v>
      </c>
      <c r="K7" s="130" t="n">
        <f aca="false">IFERROR(SUMPRODUCT(MAX(('Street Fighter 6'!$O$11:$O$42=$B7)*'Street Fighter 6'!$I$11:$I$42)),0)</f>
        <v>1000</v>
      </c>
      <c r="L7" s="130" t="n">
        <f aca="false">IFERROR(SUMPRODUCT(MAX(('Fatal Fury CotW'!$L$11:$L$42=$B7)*'Fatal Fury CotW'!$F$11:$F$42)),0)</f>
        <v>0</v>
      </c>
      <c r="M7" s="130" t="n">
        <f aca="false">IFERROR(SUMPRODUCT(MAX((TFT!$N$11:$N$26=$B7)*TFT!$H$11:$H$26)),0)</f>
        <v>0</v>
      </c>
      <c r="N7" s="130" t="n">
        <f aca="false">IFERROR(SUMPRODUCT(MAX(('Rainbow Six'!$P$11:$P$32=$B7)*'Rainbow Six'!$J$11:$J$32)),0)</f>
        <v>0</v>
      </c>
      <c r="O7" s="130" t="n">
        <f aca="false">IFERROR(SUMPRODUCT(MAX((Warzone!$M$11:$M$42=$B7)*Warzone!$G$11:$G$42)),0)</f>
        <v>0</v>
      </c>
      <c r="P7" s="130" t="n">
        <f aca="false">IFERROR(SUMPRODUCT(MAX((Valorant!$N$11:$N$26=$B7)*Valorant!$H$11:$H$26)),0)</f>
        <v>0</v>
      </c>
      <c r="Q7" s="130" t="n">
        <f aca="false">IFERROR(SUMPRODUCT(MAX(('MLBB (MSC)'!$M$11:$M$35=$B7)*'MLBB (MSC)'!$G$11:$G$35)),0)</f>
        <v>300</v>
      </c>
      <c r="R7" s="130" t="n">
        <f aca="false">IFERROR(SUMPRODUCT(MAX(('Apex Legends'!$O$11:$O$50=$B7)*'Apex Legends'!$I$11:$I$50)),0)</f>
        <v>50</v>
      </c>
      <c r="S7" s="130" t="n">
        <f aca="false">IFERROR(SUMPRODUCT(MAX(('Honor of Kings'!$N$11:$N$30=$B7)*'Honor of Kings'!$H$11:$H$30)),0)</f>
        <v>0</v>
      </c>
      <c r="T7" s="130" t="n">
        <f aca="false">IFERROR(SUMPRODUCT(MAX((CrossFire!$L$11:$L$26=$B7)*CrossFire!$F$11:$F$26)),0)</f>
        <v>0</v>
      </c>
      <c r="U7" s="130" t="n">
        <f aca="false">IFERROR(SUMPRODUCT(MAX(('Free Fire'!$M$11:$M$34=$B7)*'Free Fire'!$G$11:$G$34)),0)</f>
        <v>150</v>
      </c>
      <c r="V7" s="130" t="n">
        <f aca="false">IFERROR(SUMPRODUCT(MAX(('EA FC 26'!$N$11:$N$46=$B7)*'EA FC 26'!$H$11:$H$46)),0)</f>
        <v>200</v>
      </c>
      <c r="W7" s="130" t="n">
        <f aca="false">IFERROR(SUMPRODUCT(MAX(('Black Ops 7'!$O$11:$O$26=$B7)*'Black Ops 7'!$J$11:$J$26)),0)</f>
        <v>300</v>
      </c>
      <c r="X7" s="130" t="n">
        <f aca="false">IFERROR(SUMPRODUCT(MAX(('Rocket League'!$P$11:$P$26=$B7)*'Rocket League'!$J$11:$J$26)),0)</f>
        <v>1000</v>
      </c>
      <c r="Y7" s="130" t="n">
        <f aca="false">IFERROR(SUMPRODUCT(MAX(('Overwatch 2'!$L$11:$L$26=$B7)*'Overwatch 2'!$F$11:$F$26)),0)</f>
        <v>0</v>
      </c>
      <c r="Z7" s="130" t="n">
        <f aca="false">IFERROR(SUMPRODUCT(MAX((PUBG!$L$11:$L$34=$B7)*PUBG!$F$11:$F$34)),0)</f>
        <v>300</v>
      </c>
      <c r="AA7" s="130" t="n">
        <f aca="false">IFERROR(SUMPRODUCT(MAX(('MLBB Women'!$L$11:$L$26=$B7)*'MLBB Women'!$F$11:$F$26)),0)</f>
        <v>200</v>
      </c>
      <c r="AB7" s="130" t="n">
        <f aca="false">SUM(C7:AA7)</f>
        <v>4600</v>
      </c>
      <c r="AC7" s="130" t="n">
        <v>4600</v>
      </c>
      <c r="AD7" s="200" t="n">
        <f aca="false">AB7-AC7</f>
        <v>0</v>
      </c>
      <c r="AE7" s="82" t="str">
        <f aca="false">IF(AB7=0,"not started",IF(AD7=0,"reconciled",IF(AD7&gt;0,"CHECK NAMES","in progress")))</f>
        <v>reconciled</v>
      </c>
    </row>
    <row r="8" customFormat="false" ht="15" hidden="false" customHeight="true" outlineLevel="0" collapsed="false">
      <c r="B8" s="66" t="s">
        <v>119</v>
      </c>
      <c r="C8" s="130" t="n">
        <f aca="false">IFERROR(SUMIF(CS2!$L$11:$L$42,$B8,CS2!$F$11:$F$42),0)</f>
        <v>200</v>
      </c>
      <c r="D8" s="130" t="n">
        <f aca="false">IFERROR(SUMPRODUCT(MAX((Chess!$L$11:$L$32=$B8)*Chess!$F$11:$F$32)),0)</f>
        <v>0</v>
      </c>
      <c r="E8" s="130" t="n">
        <f aca="false">IFERROR(SUMPRODUCT(MAX((LoL!$L$11:$L$26=$B8)*LoL!$F$11:$F$26)),0)</f>
        <v>0</v>
      </c>
      <c r="F8" s="130" t="n">
        <f aca="false">IFERROR(SUMPRODUCT(MAX(('PUBG Mobile'!$L$11:$L$42=$B8)*'PUBG Mobile'!$F$11:$F$42)),0)</f>
        <v>0</v>
      </c>
      <c r="G8" s="130" t="n">
        <f aca="false">IFERROR(SUMPRODUCT(MAX(('Fortnite Reload'!$L$11:$L$50=$B8)*'Fortnite Reload'!$F$11:$F$50)),0)</f>
        <v>0</v>
      </c>
      <c r="H8" s="130" t="n">
        <f aca="false">IFERROR(SUMPRODUCT(MAX((Trackmania!$M$11:$M$42=$B8)*Trackmania!$G$11:$G$42)),0)</f>
        <v>500</v>
      </c>
      <c r="I8" s="130" t="n">
        <f aca="false">IFERROR(SUMPRODUCT(MAX(('Dota 2'!$N$11:$N$34=$B8)*'Dota 2'!$H$11:$H$34)),0)</f>
        <v>0</v>
      </c>
      <c r="J8" s="130" t="n">
        <f aca="false">IFERROR(SUMPRODUCT(MAX(('Tekken 8'!$N$11:$N$42=$B8)*'Tekken 8'!$H$11:$H$42)),0)</f>
        <v>200</v>
      </c>
      <c r="K8" s="130" t="n">
        <f aca="false">IFERROR(SUMPRODUCT(MAX(('Street Fighter 6'!$O$11:$O$42=$B8)*'Street Fighter 6'!$I$11:$I$42)),0)</f>
        <v>0</v>
      </c>
      <c r="L8" s="130" t="n">
        <f aca="false">IFERROR(SUMPRODUCT(MAX(('Fatal Fury CotW'!$L$11:$L$42=$B8)*'Fatal Fury CotW'!$F$11:$F$42)),0)</f>
        <v>200</v>
      </c>
      <c r="M8" s="130" t="n">
        <f aca="false">IFERROR(SUMPRODUCT(MAX((TFT!$N$11:$N$26=$B8)*TFT!$H$11:$H$26)),0)</f>
        <v>0</v>
      </c>
      <c r="N8" s="130" t="n">
        <f aca="false">IFERROR(SUMPRODUCT(MAX(('Rainbow Six'!$P$11:$P$32=$B8)*'Rainbow Six'!$J$11:$J$32)),0)</f>
        <v>0</v>
      </c>
      <c r="O8" s="130" t="n">
        <f aca="false">IFERROR(SUMPRODUCT(MAX((Warzone!$M$11:$M$42=$B8)*Warzone!$G$11:$G$42)),0)</f>
        <v>0</v>
      </c>
      <c r="P8" s="130" t="n">
        <f aca="false">IFERROR(SUMPRODUCT(MAX((Valorant!$N$11:$N$26=$B8)*Valorant!$H$11:$H$26)),0)</f>
        <v>200</v>
      </c>
      <c r="Q8" s="130" t="n">
        <f aca="false">IFERROR(SUMPRODUCT(MAX(('MLBB (MSC)'!$M$11:$M$35=$B8)*'MLBB (MSC)'!$G$11:$G$35)),0)</f>
        <v>200</v>
      </c>
      <c r="R8" s="130" t="n">
        <f aca="false">IFERROR(SUMPRODUCT(MAX(('Apex Legends'!$O$11:$O$50=$B8)*'Apex Legends'!$I$11:$I$50)),0)</f>
        <v>0</v>
      </c>
      <c r="S8" s="130" t="n">
        <f aca="false">IFERROR(SUMPRODUCT(MAX(('Honor of Kings'!$N$11:$N$30=$B8)*'Honor of Kings'!$H$11:$H$30)),0)</f>
        <v>200</v>
      </c>
      <c r="T8" s="130" t="n">
        <f aca="false">IFERROR(SUMPRODUCT(MAX((CrossFire!$L$11:$L$26=$B8)*CrossFire!$F$11:$F$26)),0)</f>
        <v>200</v>
      </c>
      <c r="U8" s="130" t="n">
        <f aca="false">IFERROR(SUMPRODUCT(MAX(('Free Fire'!$M$11:$M$34=$B8)*'Free Fire'!$G$11:$G$34)),0)</f>
        <v>0</v>
      </c>
      <c r="V8" s="130" t="n">
        <f aca="false">IFERROR(SUMPRODUCT(MAX(('EA FC 26'!$N$11:$N$46=$B8)*'EA FC 26'!$H$11:$H$46)),0)</f>
        <v>0</v>
      </c>
      <c r="W8" s="130" t="n">
        <f aca="false">IFERROR(SUMPRODUCT(MAX(('Black Ops 7'!$O$11:$O$26=$B8)*'Black Ops 7'!$J$11:$J$26)),0)</f>
        <v>0</v>
      </c>
      <c r="X8" s="130" t="n">
        <f aca="false">IFERROR(SUMPRODUCT(MAX(('Rocket League'!$P$11:$P$26=$B8)*'Rocket League'!$J$11:$J$26)),0)</f>
        <v>200</v>
      </c>
      <c r="Y8" s="130" t="n">
        <f aca="false">IFERROR(SUMPRODUCT(MAX(('Overwatch 2'!$L$11:$L$26=$B8)*'Overwatch 2'!$F$11:$F$26)),0)</f>
        <v>0</v>
      </c>
      <c r="Z8" s="130" t="n">
        <f aca="false">IFERROR(SUMPRODUCT(MAX((PUBG!$L$11:$L$34=$B8)*PUBG!$F$11:$F$34)),0)</f>
        <v>200</v>
      </c>
      <c r="AA8" s="130" t="n">
        <f aca="false">IFERROR(SUMPRODUCT(MAX(('MLBB Women'!$L$11:$L$26=$B8)*'MLBB Women'!$F$11:$F$26)),0)</f>
        <v>1000</v>
      </c>
      <c r="AB8" s="130" t="n">
        <f aca="false">SUM(C8:AA8)</f>
        <v>3300</v>
      </c>
      <c r="AC8" s="130" t="n">
        <v>3300</v>
      </c>
      <c r="AD8" s="200" t="n">
        <f aca="false">AB8-AC8</f>
        <v>0</v>
      </c>
      <c r="AE8" s="82" t="str">
        <f aca="false">IF(AB8=0,"not started",IF(AD8=0,"reconciled",IF(AD8&gt;0,"CHECK NAMES","in progress")))</f>
        <v>reconciled</v>
      </c>
    </row>
    <row r="9" customFormat="false" ht="15" hidden="false" customHeight="true" outlineLevel="0" collapsed="false">
      <c r="B9" s="66" t="s">
        <v>165</v>
      </c>
      <c r="C9" s="130" t="n">
        <f aca="false">IFERROR(SUMIF(CS2!$L$11:$L$42,$B9,CS2!$F$11:$F$42),0)</f>
        <v>0</v>
      </c>
      <c r="D9" s="130" t="n">
        <f aca="false">IFERROR(SUMPRODUCT(MAX((Chess!$L$11:$L$32=$B9)*Chess!$F$11:$F$32)),0)</f>
        <v>200</v>
      </c>
      <c r="E9" s="130" t="n">
        <f aca="false">IFERROR(SUMPRODUCT(MAX((LoL!$L$11:$L$26=$B9)*LoL!$F$11:$F$26)),0)</f>
        <v>0</v>
      </c>
      <c r="F9" s="130" t="n">
        <f aca="false">IFERROR(SUMPRODUCT(MAX(('PUBG Mobile'!$L$11:$L$42=$B9)*'PUBG Mobile'!$F$11:$F$42)),0)</f>
        <v>0</v>
      </c>
      <c r="G9" s="130" t="n">
        <f aca="false">IFERROR(SUMPRODUCT(MAX(('Fortnite Reload'!$L$11:$L$50=$B9)*'Fortnite Reload'!$F$11:$F$50)),0)</f>
        <v>0</v>
      </c>
      <c r="H9" s="130" t="n">
        <f aca="false">IFERROR(SUMPRODUCT(MAX((Trackmania!$M$11:$M$42=$B9)*Trackmania!$G$11:$G$42)),0)</f>
        <v>300</v>
      </c>
      <c r="I9" s="130" t="n">
        <f aca="false">IFERROR(SUMPRODUCT(MAX(('Dota 2'!$N$11:$N$34=$B9)*'Dota 2'!$H$11:$H$34)),0)</f>
        <v>0</v>
      </c>
      <c r="J9" s="130" t="n">
        <f aca="false">IFERROR(SUMPRODUCT(MAX(('Tekken 8'!$N$11:$N$42=$B9)*'Tekken 8'!$H$11:$H$42)),0)</f>
        <v>0</v>
      </c>
      <c r="K9" s="130" t="n">
        <f aca="false">IFERROR(SUMPRODUCT(MAX(('Street Fighter 6'!$O$11:$O$42=$B9)*'Street Fighter 6'!$I$11:$I$42)),0)</f>
        <v>0</v>
      </c>
      <c r="L9" s="130" t="n">
        <f aca="false">IFERROR(SUMPRODUCT(MAX(('Fatal Fury CotW'!$L$11:$L$42=$B9)*'Fatal Fury CotW'!$F$11:$F$42)),0)</f>
        <v>1000</v>
      </c>
      <c r="M9" s="130" t="n">
        <f aca="false">IFERROR(SUMPRODUCT(MAX((TFT!$N$11:$N$26=$B9)*TFT!$H$11:$H$26)),0)</f>
        <v>0</v>
      </c>
      <c r="N9" s="130" t="n">
        <f aca="false">IFERROR(SUMPRODUCT(MAX(('Rainbow Six'!$P$11:$P$32=$B9)*'Rainbow Six'!$J$11:$J$32)),0)</f>
        <v>0</v>
      </c>
      <c r="O9" s="130" t="n">
        <f aca="false">IFERROR(SUMPRODUCT(MAX((Warzone!$M$11:$M$42=$B9)*Warzone!$G$11:$G$42)),0)</f>
        <v>0</v>
      </c>
      <c r="P9" s="130" t="n">
        <f aca="false">IFERROR(SUMPRODUCT(MAX((Valorant!$N$11:$N$26=$B9)*Valorant!$H$11:$H$26)),0)</f>
        <v>0</v>
      </c>
      <c r="Q9" s="130" t="n">
        <f aca="false">IFERROR(SUMPRODUCT(MAX(('MLBB (MSC)'!$M$11:$M$35=$B9)*'MLBB (MSC)'!$G$11:$G$35)),0)</f>
        <v>0</v>
      </c>
      <c r="R9" s="130" t="n">
        <f aca="false">IFERROR(SUMPRODUCT(MAX(('Apex Legends'!$O$11:$O$50=$B9)*'Apex Legends'!$I$11:$I$50)),0)</f>
        <v>0</v>
      </c>
      <c r="S9" s="130" t="n">
        <f aca="false">IFERROR(SUMPRODUCT(MAX(('Honor of Kings'!$N$11:$N$30=$B9)*'Honor of Kings'!$H$11:$H$30)),0)</f>
        <v>0</v>
      </c>
      <c r="T9" s="130" t="n">
        <f aca="false">IFERROR(SUMPRODUCT(MAX((CrossFire!$L$11:$L$26=$B9)*CrossFire!$F$11:$F$26)),0)</f>
        <v>200</v>
      </c>
      <c r="U9" s="130" t="n">
        <f aca="false">IFERROR(SUMPRODUCT(MAX(('Free Fire'!$M$11:$M$34=$B9)*'Free Fire'!$G$11:$G$34)),0)</f>
        <v>0</v>
      </c>
      <c r="V9" s="130" t="n">
        <f aca="false">IFERROR(SUMPRODUCT(MAX(('EA FC 26'!$N$11:$N$46=$B9)*'EA FC 26'!$H$11:$H$46)),0)</f>
        <v>0</v>
      </c>
      <c r="W9" s="130" t="n">
        <f aca="false">IFERROR(SUMPRODUCT(MAX(('Black Ops 7'!$O$11:$O$26=$B9)*'Black Ops 7'!$J$11:$J$26)),0)</f>
        <v>0</v>
      </c>
      <c r="X9" s="130" t="n">
        <f aca="false">IFERROR(SUMPRODUCT(MAX(('Rocket League'!$P$11:$P$26=$B9)*'Rocket League'!$J$11:$J$26)),0)</f>
        <v>0</v>
      </c>
      <c r="Y9" s="130" t="n">
        <f aca="false">IFERROR(SUMPRODUCT(MAX(('Overwatch 2'!$L$11:$L$26=$B9)*'Overwatch 2'!$F$11:$F$26)),0)</f>
        <v>0</v>
      </c>
      <c r="Z9" s="130" t="n">
        <f aca="false">IFERROR(SUMPRODUCT(MAX((PUBG!$L$11:$L$34=$B9)*PUBG!$F$11:$F$34)),0)</f>
        <v>500</v>
      </c>
      <c r="AA9" s="130" t="n">
        <f aca="false">IFERROR(SUMPRODUCT(MAX(('MLBB Women'!$L$11:$L$26=$B9)*'MLBB Women'!$F$11:$F$26)),0)</f>
        <v>750</v>
      </c>
      <c r="AB9" s="130" t="n">
        <f aca="false">SUM(C9:AA9)</f>
        <v>2950</v>
      </c>
      <c r="AC9" s="130" t="n">
        <v>2950</v>
      </c>
      <c r="AD9" s="200" t="n">
        <f aca="false">AB9-AC9</f>
        <v>0</v>
      </c>
      <c r="AE9" s="82" t="str">
        <f aca="false">IF(AB9=0,"not started",IF(AD9=0,"reconciled",IF(AD9&gt;0,"CHECK NAMES","in progress")))</f>
        <v>reconciled</v>
      </c>
    </row>
    <row r="10" customFormat="false" ht="15" hidden="false" customHeight="true" outlineLevel="0" collapsed="false">
      <c r="B10" s="66" t="s">
        <v>141</v>
      </c>
      <c r="C10" s="130" t="n">
        <f aca="false">IFERROR(SUMIF(CS2!$L$11:$L$42,$B10,CS2!$F$11:$F$42),0)</f>
        <v>0</v>
      </c>
      <c r="D10" s="130" t="n">
        <f aca="false">IFERROR(SUMPRODUCT(MAX((Chess!$L$11:$L$32=$B10)*Chess!$F$11:$F$32)),0)</f>
        <v>1000</v>
      </c>
      <c r="E10" s="130" t="n">
        <f aca="false">IFERROR(SUMPRODUCT(MAX((LoL!$L$11:$L$26=$B10)*LoL!$F$11:$F$26)),0)</f>
        <v>0</v>
      </c>
      <c r="F10" s="130" t="n">
        <f aca="false">IFERROR(SUMPRODUCT(MAX(('PUBG Mobile'!$L$11:$L$42=$B10)*'PUBG Mobile'!$F$11:$F$42)),0)</f>
        <v>0</v>
      </c>
      <c r="G10" s="130" t="n">
        <f aca="false">IFERROR(SUMPRODUCT(MAX(('Fortnite Reload'!$L$11:$L$50=$B10)*'Fortnite Reload'!$F$11:$F$50)),0)</f>
        <v>0</v>
      </c>
      <c r="H10" s="130" t="n">
        <f aca="false">IFERROR(SUMPRODUCT(MAX((Trackmania!$M$11:$M$42=$B10)*Trackmania!$G$11:$G$42)),0)</f>
        <v>750</v>
      </c>
      <c r="I10" s="130" t="n">
        <f aca="false">IFERROR(SUMPRODUCT(MAX(('Dota 2'!$N$11:$N$34=$B10)*'Dota 2'!$H$11:$H$34)),0)</f>
        <v>0</v>
      </c>
      <c r="J10" s="130" t="n">
        <f aca="false">IFERROR(SUMPRODUCT(MAX(('Tekken 8'!$N$11:$N$42=$B10)*'Tekken 8'!$H$11:$H$42)),0)</f>
        <v>0</v>
      </c>
      <c r="K10" s="130" t="n">
        <f aca="false">IFERROR(SUMPRODUCT(MAX(('Street Fighter 6'!$O$11:$O$42=$B10)*'Street Fighter 6'!$I$11:$I$42)),0)</f>
        <v>0</v>
      </c>
      <c r="L10" s="130" t="n">
        <f aca="false">IFERROR(SUMPRODUCT(MAX(('Fatal Fury CotW'!$L$11:$L$42=$B10)*'Fatal Fury CotW'!$F$11:$F$42)),0)</f>
        <v>0</v>
      </c>
      <c r="M10" s="130" t="n">
        <f aca="false">IFERROR(SUMPRODUCT(MAX((TFT!$N$11:$N$26=$B10)*TFT!$H$11:$H$26)),0)</f>
        <v>0</v>
      </c>
      <c r="N10" s="130" t="n">
        <f aca="false">IFERROR(SUMPRODUCT(MAX(('Rainbow Six'!$P$11:$P$32=$B10)*'Rainbow Six'!$J$11:$J$32)),0)</f>
        <v>200</v>
      </c>
      <c r="O10" s="130" t="n">
        <f aca="false">IFERROR(SUMPRODUCT(MAX((Warzone!$M$11:$M$42=$B10)*Warzone!$G$11:$G$42)),0)</f>
        <v>0</v>
      </c>
      <c r="P10" s="130" t="n">
        <f aca="false">IFERROR(SUMPRODUCT(MAX((Valorant!$N$11:$N$26=$B10)*Valorant!$H$11:$H$26)),0)</f>
        <v>0</v>
      </c>
      <c r="Q10" s="130" t="n">
        <f aca="false">IFERROR(SUMPRODUCT(MAX(('MLBB (MSC)'!$M$11:$M$35=$B10)*'MLBB (MSC)'!$G$11:$G$35)),0)</f>
        <v>0</v>
      </c>
      <c r="R10" s="130" t="n">
        <f aca="false">IFERROR(SUMPRODUCT(MAX(('Apex Legends'!$O$11:$O$50=$B10)*'Apex Legends'!$I$11:$I$50)),0)</f>
        <v>0</v>
      </c>
      <c r="S10" s="130" t="n">
        <f aca="false">IFERROR(SUMPRODUCT(MAX(('Honor of Kings'!$N$11:$N$30=$B10)*'Honor of Kings'!$H$11:$H$30)),0)</f>
        <v>0</v>
      </c>
      <c r="T10" s="130" t="n">
        <f aca="false">IFERROR(SUMPRODUCT(MAX((CrossFire!$L$11:$L$26=$B10)*CrossFire!$F$11:$F$26)),0)</f>
        <v>750</v>
      </c>
      <c r="U10" s="130" t="n">
        <f aca="false">IFERROR(SUMPRODUCT(MAX(('Free Fire'!$M$11:$M$34=$B10)*'Free Fire'!$G$11:$G$34)),0)</f>
        <v>0</v>
      </c>
      <c r="V10" s="130" t="n">
        <f aca="false">IFERROR(SUMPRODUCT(MAX(('EA FC 26'!$N$11:$N$46=$B10)*'EA FC 26'!$H$11:$H$46)),0)</f>
        <v>0</v>
      </c>
      <c r="W10" s="130" t="n">
        <f aca="false">IFERROR(SUMPRODUCT(MAX(('Black Ops 7'!$O$11:$O$26=$B10)*'Black Ops 7'!$J$11:$J$26)),0)</f>
        <v>0</v>
      </c>
      <c r="X10" s="130" t="n">
        <f aca="false">IFERROR(SUMPRODUCT(MAX(('Rocket League'!$P$11:$P$26=$B10)*'Rocket League'!$J$11:$J$26)),0)</f>
        <v>0</v>
      </c>
      <c r="Y10" s="130" t="n">
        <f aca="false">IFERROR(SUMPRODUCT(MAX(('Overwatch 2'!$L$11:$L$26=$B10)*'Overwatch 2'!$F$11:$F$26)),0)</f>
        <v>0</v>
      </c>
      <c r="Z10" s="130" t="n">
        <f aca="false">IFERROR(SUMPRODUCT(MAX((PUBG!$L$11:$L$34=$B10)*PUBG!$F$11:$F$34)),0)</f>
        <v>0</v>
      </c>
      <c r="AA10" s="130" t="n">
        <f aca="false">IFERROR(SUMPRODUCT(MAX(('MLBB Women'!$L$11:$L$26=$B10)*'MLBB Women'!$F$11:$F$26)),0)</f>
        <v>0</v>
      </c>
      <c r="AB10" s="130" t="n">
        <f aca="false">SUM(C10:AA10)</f>
        <v>2700</v>
      </c>
      <c r="AC10" s="130" t="n">
        <v>2700</v>
      </c>
      <c r="AD10" s="200" t="n">
        <f aca="false">AB10-AC10</f>
        <v>0</v>
      </c>
      <c r="AE10" s="82" t="str">
        <f aca="false">IF(AB10=0,"not started",IF(AD10=0,"reconciled",IF(AD10&gt;0,"CHECK NAMES","in progress")))</f>
        <v>reconciled</v>
      </c>
    </row>
    <row r="11" customFormat="false" ht="15" hidden="false" customHeight="true" outlineLevel="0" collapsed="false">
      <c r="B11" s="66" t="s">
        <v>175</v>
      </c>
      <c r="C11" s="130" t="n">
        <f aca="false">IFERROR(SUMIF(CS2!$L$11:$L$42,$B11,CS2!$F$11:$F$42),0)</f>
        <v>1000</v>
      </c>
      <c r="D11" s="130" t="n">
        <f aca="false">IFERROR(SUMPRODUCT(MAX((Chess!$L$11:$L$32=$B11)*Chess!$F$11:$F$32)),0)</f>
        <v>0</v>
      </c>
      <c r="E11" s="130" t="n">
        <f aca="false">IFERROR(SUMPRODUCT(MAX((LoL!$L$11:$L$26=$B11)*LoL!$F$11:$F$26)),0)</f>
        <v>0</v>
      </c>
      <c r="F11" s="130" t="n">
        <f aca="false">IFERROR(SUMPRODUCT(MAX(('PUBG Mobile'!$L$11:$L$42=$B11)*'PUBG Mobile'!$F$11:$F$42)),0)</f>
        <v>0</v>
      </c>
      <c r="G11" s="130" t="n">
        <f aca="false">IFERROR(SUMPRODUCT(MAX(('Fortnite Reload'!$L$11:$L$50=$B11)*'Fortnite Reload'!$F$11:$F$50)),0)</f>
        <v>0</v>
      </c>
      <c r="H11" s="130" t="n">
        <f aca="false">IFERROR(SUMPRODUCT(MAX((Trackmania!$M$11:$M$42=$B11)*Trackmania!$G$11:$G$42)),0)</f>
        <v>0</v>
      </c>
      <c r="I11" s="130" t="n">
        <f aca="false">IFERROR(SUMPRODUCT(MAX(('Dota 2'!$N$11:$N$34=$B11)*'Dota 2'!$H$11:$H$34)),0)</f>
        <v>200</v>
      </c>
      <c r="J11" s="130" t="n">
        <f aca="false">IFERROR(SUMPRODUCT(MAX(('Tekken 8'!$N$11:$N$42=$B11)*'Tekken 8'!$H$11:$H$42)),0)</f>
        <v>0</v>
      </c>
      <c r="K11" s="130" t="n">
        <f aca="false">IFERROR(SUMPRODUCT(MAX(('Street Fighter 6'!$O$11:$O$42=$B11)*'Street Fighter 6'!$I$11:$I$42)),0)</f>
        <v>0</v>
      </c>
      <c r="L11" s="130" t="n">
        <f aca="false">IFERROR(SUMPRODUCT(MAX(('Fatal Fury CotW'!$L$11:$L$42=$B11)*'Fatal Fury CotW'!$F$11:$F$42)),0)</f>
        <v>0</v>
      </c>
      <c r="M11" s="130" t="n">
        <f aca="false">IFERROR(SUMPRODUCT(MAX((TFT!$N$11:$N$26=$B11)*TFT!$H$11:$H$26)),0)</f>
        <v>0</v>
      </c>
      <c r="N11" s="130" t="n">
        <f aca="false">IFERROR(SUMPRODUCT(MAX(('Rainbow Six'!$P$11:$P$32=$B11)*'Rainbow Six'!$J$11:$J$32)),0)</f>
        <v>0</v>
      </c>
      <c r="O11" s="130" t="n">
        <f aca="false">IFERROR(SUMPRODUCT(MAX((Warzone!$M$11:$M$42=$B11)*Warzone!$G$11:$G$42)),0)</f>
        <v>0</v>
      </c>
      <c r="P11" s="130" t="n">
        <f aca="false">IFERROR(SUMPRODUCT(MAX((Valorant!$N$11:$N$26=$B11)*Valorant!$H$11:$H$26)),0)</f>
        <v>0</v>
      </c>
      <c r="Q11" s="130" t="n">
        <f aca="false">IFERROR(SUMPRODUCT(MAX(('MLBB (MSC)'!$M$11:$M$35=$B11)*'MLBB (MSC)'!$G$11:$G$35)),0)</f>
        <v>1000</v>
      </c>
      <c r="R11" s="130" t="n">
        <f aca="false">IFERROR(SUMPRODUCT(MAX(('Apex Legends'!$O$11:$O$50=$B11)*'Apex Legends'!$I$11:$I$50)),0)</f>
        <v>0</v>
      </c>
      <c r="S11" s="130" t="n">
        <f aca="false">IFERROR(SUMPRODUCT(MAX(('Honor of Kings'!$N$11:$N$30=$B11)*'Honor of Kings'!$H$11:$H$30)),0)</f>
        <v>0</v>
      </c>
      <c r="T11" s="130" t="n">
        <f aca="false">IFERROR(SUMPRODUCT(MAX((CrossFire!$L$11:$L$26=$B11)*CrossFire!$F$11:$F$26)),0)</f>
        <v>0</v>
      </c>
      <c r="U11" s="130" t="n">
        <f aca="false">IFERROR(SUMPRODUCT(MAX(('Free Fire'!$M$11:$M$34=$B11)*'Free Fire'!$G$11:$G$34)),0)</f>
        <v>0</v>
      </c>
      <c r="V11" s="130" t="n">
        <f aca="false">IFERROR(SUMPRODUCT(MAX(('EA FC 26'!$N$11:$N$46=$B11)*'EA FC 26'!$H$11:$H$46)),0)</f>
        <v>0</v>
      </c>
      <c r="W11" s="130" t="n">
        <f aca="false">IFERROR(SUMPRODUCT(MAX(('Black Ops 7'!$O$11:$O$26=$B11)*'Black Ops 7'!$J$11:$J$26)),0)</f>
        <v>0</v>
      </c>
      <c r="X11" s="130" t="n">
        <f aca="false">IFERROR(SUMPRODUCT(MAX(('Rocket League'!$P$11:$P$26=$B11)*'Rocket League'!$J$11:$J$26)),0)</f>
        <v>0</v>
      </c>
      <c r="Y11" s="130" t="n">
        <f aca="false">IFERROR(SUMPRODUCT(MAX(('Overwatch 2'!$L$11:$L$26=$B11)*'Overwatch 2'!$F$11:$F$26)),0)</f>
        <v>0</v>
      </c>
      <c r="Z11" s="130" t="n">
        <f aca="false">IFERROR(SUMPRODUCT(MAX((PUBG!$L$11:$L$34=$B11)*PUBG!$F$11:$F$34)),0)</f>
        <v>0</v>
      </c>
      <c r="AA11" s="130" t="n">
        <f aca="false">IFERROR(SUMPRODUCT(MAX(('MLBB Women'!$L$11:$L$26=$B11)*'MLBB Women'!$F$11:$F$26)),0)</f>
        <v>0</v>
      </c>
      <c r="AB11" s="130" t="n">
        <f aca="false">SUM(C11:AA11)</f>
        <v>2200</v>
      </c>
      <c r="AC11" s="130" t="n">
        <v>2200</v>
      </c>
      <c r="AD11" s="200" t="n">
        <f aca="false">AB11-AC11</f>
        <v>0</v>
      </c>
      <c r="AE11" s="82" t="str">
        <f aca="false">IF(AB11=0,"not started",IF(AD11=0,"reconciled",IF(AD11&gt;0,"CHECK NAMES","in progress")))</f>
        <v>reconciled</v>
      </c>
    </row>
    <row r="12" customFormat="false" ht="15" hidden="false" customHeight="true" outlineLevel="0" collapsed="false">
      <c r="B12" s="66" t="s">
        <v>123</v>
      </c>
      <c r="C12" s="130" t="n">
        <f aca="false">IFERROR(SUMIF(CS2!$L$11:$L$42,$B12,CS2!$F$11:$F$42),0)</f>
        <v>0</v>
      </c>
      <c r="D12" s="130" t="n">
        <f aca="false">IFERROR(SUMPRODUCT(MAX((Chess!$L$11:$L$32=$B12)*Chess!$F$11:$F$32)),0)</f>
        <v>0</v>
      </c>
      <c r="E12" s="130" t="n">
        <f aca="false">IFERROR(SUMPRODUCT(MAX((LoL!$L$11:$L$26=$B12)*LoL!$F$11:$F$26)),0)</f>
        <v>0</v>
      </c>
      <c r="F12" s="130" t="n">
        <f aca="false">IFERROR(SUMPRODUCT(MAX(('PUBG Mobile'!$L$11:$L$42=$B12)*'PUBG Mobile'!$F$11:$F$42)),0)</f>
        <v>0</v>
      </c>
      <c r="G12" s="130" t="n">
        <f aca="false">IFERROR(SUMPRODUCT(MAX(('Fortnite Reload'!$L$11:$L$50=$B12)*'Fortnite Reload'!$F$11:$F$50)),0)</f>
        <v>0</v>
      </c>
      <c r="H12" s="130" t="n">
        <f aca="false">IFERROR(SUMPRODUCT(MAX((Trackmania!$M$11:$M$42=$B12)*Trackmania!$G$11:$G$42)),0)</f>
        <v>0</v>
      </c>
      <c r="I12" s="130" t="n">
        <f aca="false">IFERROR(SUMPRODUCT(MAX(('Dota 2'!$N$11:$N$34=$B12)*'Dota 2'!$H$11:$H$34)),0)</f>
        <v>0</v>
      </c>
      <c r="J12" s="130" t="n">
        <f aca="false">IFERROR(SUMPRODUCT(MAX(('Tekken 8'!$N$11:$N$42=$B12)*'Tekken 8'!$H$11:$H$42)),0)</f>
        <v>0</v>
      </c>
      <c r="K12" s="130" t="n">
        <f aca="false">IFERROR(SUMPRODUCT(MAX(('Street Fighter 6'!$O$11:$O$42=$B12)*'Street Fighter 6'!$I$11:$I$42)),0)</f>
        <v>0</v>
      </c>
      <c r="L12" s="130" t="n">
        <f aca="false">IFERROR(SUMPRODUCT(MAX(('Fatal Fury CotW'!$L$11:$L$42=$B12)*'Fatal Fury CotW'!$F$11:$F$42)),0)</f>
        <v>750</v>
      </c>
      <c r="M12" s="130" t="n">
        <f aca="false">IFERROR(SUMPRODUCT(MAX((TFT!$N$11:$N$26=$B12)*TFT!$H$11:$H$26)),0)</f>
        <v>200</v>
      </c>
      <c r="N12" s="130" t="n">
        <f aca="false">IFERROR(SUMPRODUCT(MAX(('Rainbow Six'!$P$11:$P$32=$B12)*'Rainbow Six'!$J$11:$J$32)),0)</f>
        <v>0</v>
      </c>
      <c r="O12" s="130" t="n">
        <f aca="false">IFERROR(SUMPRODUCT(MAX((Warzone!$M$11:$M$42=$B12)*Warzone!$G$11:$G$42)),0)</f>
        <v>50</v>
      </c>
      <c r="P12" s="130" t="n">
        <f aca="false">IFERROR(SUMPRODUCT(MAX((Valorant!$N$11:$N$26=$B12)*Valorant!$H$11:$H$26)),0)</f>
        <v>0</v>
      </c>
      <c r="Q12" s="130" t="n">
        <f aca="false">IFERROR(SUMPRODUCT(MAX(('MLBB (MSC)'!$M$11:$M$35=$B12)*'MLBB (MSC)'!$G$11:$G$35)),0)</f>
        <v>0</v>
      </c>
      <c r="R12" s="130" t="n">
        <f aca="false">IFERROR(SUMPRODUCT(MAX(('Apex Legends'!$O$11:$O$50=$B12)*'Apex Legends'!$I$11:$I$50)),0)</f>
        <v>0</v>
      </c>
      <c r="S12" s="130" t="n">
        <f aca="false">IFERROR(SUMPRODUCT(MAX(('Honor of Kings'!$N$11:$N$30=$B12)*'Honor of Kings'!$H$11:$H$30)),0)</f>
        <v>200</v>
      </c>
      <c r="T12" s="130" t="n">
        <f aca="false">IFERROR(SUMPRODUCT(MAX((CrossFire!$L$11:$L$26=$B12)*CrossFire!$F$11:$F$26)),0)</f>
        <v>0</v>
      </c>
      <c r="U12" s="130" t="n">
        <f aca="false">IFERROR(SUMPRODUCT(MAX(('Free Fire'!$M$11:$M$34=$B12)*'Free Fire'!$G$11:$G$34)),0)</f>
        <v>0</v>
      </c>
      <c r="V12" s="130" t="n">
        <f aca="false">IFERROR(SUMPRODUCT(MAX(('EA FC 26'!$N$11:$N$46=$B12)*'EA FC 26'!$H$11:$H$46)),0)</f>
        <v>0</v>
      </c>
      <c r="W12" s="130" t="n">
        <f aca="false">IFERROR(SUMPRODUCT(MAX(('Black Ops 7'!$O$11:$O$26=$B12)*'Black Ops 7'!$J$11:$J$26)),0)</f>
        <v>0</v>
      </c>
      <c r="X12" s="130" t="n">
        <f aca="false">IFERROR(SUMPRODUCT(MAX(('Rocket League'!$P$11:$P$26=$B12)*'Rocket League'!$J$11:$J$26)),0)</f>
        <v>0</v>
      </c>
      <c r="Y12" s="130" t="n">
        <f aca="false">IFERROR(SUMPRODUCT(MAX(('Overwatch 2'!$L$11:$L$26=$B12)*'Overwatch 2'!$F$11:$F$26)),0)</f>
        <v>0</v>
      </c>
      <c r="Z12" s="130" t="n">
        <f aca="false">IFERROR(SUMPRODUCT(MAX((PUBG!$L$11:$L$34=$B12)*PUBG!$F$11:$F$34)),0)</f>
        <v>1000</v>
      </c>
      <c r="AA12" s="130" t="n">
        <f aca="false">IFERROR(SUMPRODUCT(MAX(('MLBB Women'!$L$11:$L$26=$B12)*'MLBB Women'!$F$11:$F$26)),0)</f>
        <v>0</v>
      </c>
      <c r="AB12" s="130" t="n">
        <f aca="false">SUM(C12:AA12)</f>
        <v>2200</v>
      </c>
      <c r="AC12" s="130" t="n">
        <v>2200</v>
      </c>
      <c r="AD12" s="200" t="n">
        <f aca="false">AB12-AC12</f>
        <v>0</v>
      </c>
      <c r="AE12" s="82" t="str">
        <f aca="false">IF(AB12=0,"not started",IF(AD12=0,"reconciled",IF(AD12&gt;0,"CHECK NAMES","in progress")))</f>
        <v>reconciled</v>
      </c>
    </row>
    <row r="13" customFormat="false" ht="15" hidden="false" customHeight="true" outlineLevel="0" collapsed="false">
      <c r="B13" s="66" t="s">
        <v>157</v>
      </c>
      <c r="C13" s="130" t="n">
        <f aca="false">IFERROR(SUMIF(CS2!$L$11:$L$42,$B13,CS2!$F$11:$F$42),0)</f>
        <v>0</v>
      </c>
      <c r="D13" s="130" t="n">
        <f aca="false">IFERROR(SUMPRODUCT(MAX((Chess!$L$11:$L$32=$B13)*Chess!$F$11:$F$32)),0)</f>
        <v>0</v>
      </c>
      <c r="E13" s="130" t="n">
        <f aca="false">IFERROR(SUMPRODUCT(MAX((LoL!$L$11:$L$26=$B13)*LoL!$F$11:$F$26)),0)</f>
        <v>0</v>
      </c>
      <c r="F13" s="130" t="n">
        <f aca="false">IFERROR(SUMPRODUCT(MAX(('PUBG Mobile'!$L$11:$L$42=$B13)*'PUBG Mobile'!$F$11:$F$42)),0)</f>
        <v>500</v>
      </c>
      <c r="G13" s="130" t="n">
        <f aca="false">IFERROR(SUMPRODUCT(MAX(('Fortnite Reload'!$L$11:$L$50=$B13)*'Fortnite Reload'!$F$11:$F$50)),0)</f>
        <v>500</v>
      </c>
      <c r="H13" s="130" t="n">
        <f aca="false">IFERROR(SUMPRODUCT(MAX((Trackmania!$M$11:$M$42=$B13)*Trackmania!$G$11:$G$42)),0)</f>
        <v>0</v>
      </c>
      <c r="I13" s="130" t="n">
        <f aca="false">IFERROR(SUMPRODUCT(MAX(('Dota 2'!$N$11:$N$34=$B13)*'Dota 2'!$H$11:$H$34)),0)</f>
        <v>0</v>
      </c>
      <c r="J13" s="130" t="n">
        <f aca="false">IFERROR(SUMPRODUCT(MAX(('Tekken 8'!$N$11:$N$42=$B13)*'Tekken 8'!$H$11:$H$42)),0)</f>
        <v>0</v>
      </c>
      <c r="K13" s="130" t="n">
        <f aca="false">IFERROR(SUMPRODUCT(MAX(('Street Fighter 6'!$O$11:$O$42=$B13)*'Street Fighter 6'!$I$11:$I$42)),0)</f>
        <v>0</v>
      </c>
      <c r="L13" s="130" t="n">
        <f aca="false">IFERROR(SUMPRODUCT(MAX(('Fatal Fury CotW'!$L$11:$L$42=$B13)*'Fatal Fury CotW'!$F$11:$F$42)),0)</f>
        <v>0</v>
      </c>
      <c r="M13" s="130" t="n">
        <f aca="false">IFERROR(SUMPRODUCT(MAX((TFT!$N$11:$N$26=$B13)*TFT!$H$11:$H$26)),0)</f>
        <v>750</v>
      </c>
      <c r="N13" s="130" t="n">
        <f aca="false">IFERROR(SUMPRODUCT(MAX(('Rainbow Six'!$P$11:$P$32=$B13)*'Rainbow Six'!$J$11:$J$32)),0)</f>
        <v>0</v>
      </c>
      <c r="O13" s="130" t="n">
        <f aca="false">IFERROR(SUMPRODUCT(MAX((Warzone!$M$11:$M$42=$B13)*Warzone!$G$11:$G$42)),0)</f>
        <v>0</v>
      </c>
      <c r="P13" s="130" t="n">
        <f aca="false">IFERROR(SUMPRODUCT(MAX((Valorant!$N$11:$N$26=$B13)*Valorant!$H$11:$H$26)),0)</f>
        <v>0</v>
      </c>
      <c r="Q13" s="130" t="n">
        <f aca="false">IFERROR(SUMPRODUCT(MAX(('MLBB (MSC)'!$M$11:$M$35=$B13)*'MLBB (MSC)'!$G$11:$G$35)),0)</f>
        <v>200</v>
      </c>
      <c r="R13" s="130" t="n">
        <f aca="false">IFERROR(SUMPRODUCT(MAX(('Apex Legends'!$O$11:$O$50=$B13)*'Apex Legends'!$I$11:$I$50)),0)</f>
        <v>0</v>
      </c>
      <c r="S13" s="130" t="n">
        <f aca="false">IFERROR(SUMPRODUCT(MAX(('Honor of Kings'!$N$11:$N$30=$B13)*'Honor of Kings'!$H$11:$H$30)),0)</f>
        <v>200</v>
      </c>
      <c r="T13" s="130" t="n">
        <f aca="false">IFERROR(SUMPRODUCT(MAX((CrossFire!$L$11:$L$26=$B13)*CrossFire!$F$11:$F$26)),0)</f>
        <v>0</v>
      </c>
      <c r="U13" s="130" t="n">
        <f aca="false">IFERROR(SUMPRODUCT(MAX(('Free Fire'!$M$11:$M$34=$B13)*'Free Fire'!$G$11:$G$34)),0)</f>
        <v>0</v>
      </c>
      <c r="V13" s="130" t="n">
        <f aca="false">IFERROR(SUMPRODUCT(MAX(('EA FC 26'!$N$11:$N$46=$B13)*'EA FC 26'!$H$11:$H$46)),0)</f>
        <v>0</v>
      </c>
      <c r="W13" s="130" t="n">
        <f aca="false">IFERROR(SUMPRODUCT(MAX(('Black Ops 7'!$O$11:$O$26=$B13)*'Black Ops 7'!$J$11:$J$26)),0)</f>
        <v>0</v>
      </c>
      <c r="X13" s="130" t="n">
        <f aca="false">IFERROR(SUMPRODUCT(MAX(('Rocket League'!$P$11:$P$26=$B13)*'Rocket League'!$J$11:$J$26)),0)</f>
        <v>0</v>
      </c>
      <c r="Y13" s="130" t="n">
        <f aca="false">IFERROR(SUMPRODUCT(MAX(('Overwatch 2'!$L$11:$L$26=$B13)*'Overwatch 2'!$F$11:$F$26)),0)</f>
        <v>0</v>
      </c>
      <c r="Z13" s="130" t="n">
        <f aca="false">IFERROR(SUMPRODUCT(MAX((PUBG!$L$11:$L$34=$B13)*PUBG!$F$11:$F$34)),0)</f>
        <v>0</v>
      </c>
      <c r="AA13" s="130" t="n">
        <f aca="false">IFERROR(SUMPRODUCT(MAX(('MLBB Women'!$L$11:$L$26=$B13)*'MLBB Women'!$F$11:$F$26)),0)</f>
        <v>0</v>
      </c>
      <c r="AB13" s="130" t="n">
        <f aca="false">SUM(C13:AA13)</f>
        <v>2150</v>
      </c>
      <c r="AC13" s="130" t="n">
        <v>2150</v>
      </c>
      <c r="AD13" s="200" t="n">
        <f aca="false">AB13-AC13</f>
        <v>0</v>
      </c>
      <c r="AE13" s="82" t="str">
        <f aca="false">IF(AB13=0,"not started",IF(AD13=0,"reconciled",IF(AD13&gt;0,"CHECK NAMES","in progress")))</f>
        <v>reconciled</v>
      </c>
    </row>
    <row r="14" customFormat="false" ht="15" hidden="false" customHeight="true" outlineLevel="0" collapsed="false">
      <c r="B14" s="66" t="s">
        <v>134</v>
      </c>
      <c r="C14" s="130" t="n">
        <f aca="false">IFERROR(SUMIF(CS2!$L$11:$L$42,$B14,CS2!$F$11:$F$42),0)</f>
        <v>0</v>
      </c>
      <c r="D14" s="130" t="n">
        <f aca="false">IFERROR(SUMPRODUCT(MAX((Chess!$L$11:$L$32=$B14)*Chess!$F$11:$F$32)),0)</f>
        <v>0</v>
      </c>
      <c r="E14" s="130" t="n">
        <f aca="false">IFERROR(SUMPRODUCT(MAX((LoL!$L$11:$L$26=$B14)*LoL!$F$11:$F$26)),0)</f>
        <v>0</v>
      </c>
      <c r="F14" s="130" t="n">
        <f aca="false">IFERROR(SUMPRODUCT(MAX(('PUBG Mobile'!$L$11:$L$42=$B14)*'PUBG Mobile'!$F$11:$F$42)),0)</f>
        <v>0</v>
      </c>
      <c r="G14" s="130" t="n">
        <f aca="false">IFERROR(SUMPRODUCT(MAX(('Fortnite Reload'!$L$11:$L$50=$B14)*'Fortnite Reload'!$F$11:$F$50)),0)</f>
        <v>0</v>
      </c>
      <c r="H14" s="130" t="n">
        <f aca="false">IFERROR(SUMPRODUCT(MAX((Trackmania!$M$11:$M$42=$B14)*Trackmania!$G$11:$G$42)),0)</f>
        <v>0</v>
      </c>
      <c r="I14" s="130" t="n">
        <f aca="false">IFERROR(SUMPRODUCT(MAX(('Dota 2'!$N$11:$N$34=$B14)*'Dota 2'!$H$11:$H$34)),0)</f>
        <v>0</v>
      </c>
      <c r="J14" s="130" t="n">
        <f aca="false">IFERROR(SUMPRODUCT(MAX(('Tekken 8'!$N$11:$N$42=$B14)*'Tekken 8'!$H$11:$H$42)),0)</f>
        <v>300</v>
      </c>
      <c r="K14" s="130" t="n">
        <f aca="false">IFERROR(SUMPRODUCT(MAX(('Street Fighter 6'!$O$11:$O$42=$B14)*'Street Fighter 6'!$I$11:$I$42)),0)</f>
        <v>0</v>
      </c>
      <c r="L14" s="130" t="n">
        <f aca="false">IFERROR(SUMPRODUCT(MAX(('Fatal Fury CotW'!$L$11:$L$42=$B14)*'Fatal Fury CotW'!$F$11:$F$42)),0)</f>
        <v>0</v>
      </c>
      <c r="M14" s="130" t="n">
        <f aca="false">IFERROR(SUMPRODUCT(MAX((TFT!$N$11:$N$26=$B14)*TFT!$H$11:$H$26)),0)</f>
        <v>0</v>
      </c>
      <c r="N14" s="130" t="n">
        <f aca="false">IFERROR(SUMPRODUCT(MAX(('Rainbow Six'!$P$11:$P$32=$B14)*'Rainbow Six'!$J$11:$J$32)),0)</f>
        <v>0</v>
      </c>
      <c r="O14" s="130" t="n">
        <f aca="false">IFERROR(SUMPRODUCT(MAX((Warzone!$M$11:$M$42=$B14)*Warzone!$G$11:$G$42)),0)</f>
        <v>300</v>
      </c>
      <c r="P14" s="130" t="n">
        <f aca="false">IFERROR(SUMPRODUCT(MAX((Valorant!$N$11:$N$26=$B14)*Valorant!$H$11:$H$26)),0)</f>
        <v>0</v>
      </c>
      <c r="Q14" s="130" t="n">
        <f aca="false">IFERROR(SUMPRODUCT(MAX(('MLBB (MSC)'!$M$11:$M$35=$B14)*'MLBB (MSC)'!$G$11:$G$35)),0)</f>
        <v>0</v>
      </c>
      <c r="R14" s="130" t="n">
        <f aca="false">IFERROR(SUMPRODUCT(MAX(('Apex Legends'!$O$11:$O$50=$B14)*'Apex Legends'!$I$11:$I$50)),0)</f>
        <v>0</v>
      </c>
      <c r="S14" s="130" t="n">
        <f aca="false">IFERROR(SUMPRODUCT(MAX(('Honor of Kings'!$N$11:$N$30=$B14)*'Honor of Kings'!$H$11:$H$30)),0)</f>
        <v>0</v>
      </c>
      <c r="T14" s="130" t="n">
        <f aca="false">IFERROR(SUMPRODUCT(MAX((CrossFire!$L$11:$L$26=$B14)*CrossFire!$F$11:$F$26)),0)</f>
        <v>0</v>
      </c>
      <c r="U14" s="130" t="n">
        <f aca="false">IFERROR(SUMPRODUCT(MAX(('Free Fire'!$M$11:$M$34=$B14)*'Free Fire'!$G$11:$G$34)),0)</f>
        <v>300</v>
      </c>
      <c r="V14" s="130" t="n">
        <f aca="false">IFERROR(SUMPRODUCT(MAX(('EA FC 26'!$N$11:$N$46=$B14)*'EA FC 26'!$H$11:$H$46)),0)</f>
        <v>0</v>
      </c>
      <c r="W14" s="130" t="n">
        <f aca="false">IFERROR(SUMPRODUCT(MAX(('Black Ops 7'!$O$11:$O$26=$B14)*'Black Ops 7'!$J$11:$J$26)),0)</f>
        <v>0</v>
      </c>
      <c r="X14" s="130" t="n">
        <f aca="false">IFERROR(SUMPRODUCT(MAX(('Rocket League'!$P$11:$P$26=$B14)*'Rocket League'!$J$11:$J$26)),0)</f>
        <v>200</v>
      </c>
      <c r="Y14" s="130" t="n">
        <f aca="false">IFERROR(SUMPRODUCT(MAX(('Overwatch 2'!$L$11:$L$26=$B14)*'Overwatch 2'!$F$11:$F$26)),0)</f>
        <v>750</v>
      </c>
      <c r="Z14" s="130" t="n">
        <f aca="false">IFERROR(SUMPRODUCT(MAX((PUBG!$L$11:$L$34=$B14)*PUBG!$F$11:$F$34)),0)</f>
        <v>50</v>
      </c>
      <c r="AA14" s="130" t="n">
        <f aca="false">IFERROR(SUMPRODUCT(MAX(('MLBB Women'!$L$11:$L$26=$B14)*'MLBB Women'!$F$11:$F$26)),0)</f>
        <v>0</v>
      </c>
      <c r="AB14" s="130" t="n">
        <f aca="false">SUM(C14:AA14)</f>
        <v>1900</v>
      </c>
      <c r="AC14" s="130" t="n">
        <v>1900</v>
      </c>
      <c r="AD14" s="200" t="n">
        <f aca="false">AB14-AC14</f>
        <v>0</v>
      </c>
      <c r="AE14" s="82" t="str">
        <f aca="false">IF(AB14=0,"not started",IF(AD14=0,"reconciled",IF(AD14&gt;0,"CHECK NAMES","in progress")))</f>
        <v>reconciled</v>
      </c>
    </row>
    <row r="15" customFormat="false" ht="15" hidden="false" customHeight="true" outlineLevel="0" collapsed="false">
      <c r="B15" s="66" t="s">
        <v>173</v>
      </c>
      <c r="C15" s="130" t="n">
        <f aca="false">IFERROR(SUMIF(CS2!$L$11:$L$42,$B15,CS2!$F$11:$F$42),0)</f>
        <v>0</v>
      </c>
      <c r="D15" s="130" t="n">
        <f aca="false">IFERROR(SUMPRODUCT(MAX((Chess!$L$11:$L$32=$B15)*Chess!$F$11:$F$32)),0)</f>
        <v>0</v>
      </c>
      <c r="E15" s="130" t="n">
        <f aca="false">IFERROR(SUMPRODUCT(MAX((LoL!$L$11:$L$26=$B15)*LoL!$F$11:$F$26)),0)</f>
        <v>300</v>
      </c>
      <c r="F15" s="130" t="n">
        <f aca="false">IFERROR(SUMPRODUCT(MAX(('PUBG Mobile'!$L$11:$L$42=$B15)*'PUBG Mobile'!$F$11:$F$42)),0)</f>
        <v>0</v>
      </c>
      <c r="G15" s="130" t="n">
        <f aca="false">IFERROR(SUMPRODUCT(MAX(('Fortnite Reload'!$L$11:$L$50=$B15)*'Fortnite Reload'!$F$11:$F$50)),0)</f>
        <v>50</v>
      </c>
      <c r="H15" s="130" t="n">
        <f aca="false">IFERROR(SUMPRODUCT(MAX((Trackmania!$M$11:$M$42=$B15)*Trackmania!$G$11:$G$42)),0)</f>
        <v>0</v>
      </c>
      <c r="I15" s="130" t="n">
        <f aca="false">IFERROR(SUMPRODUCT(MAX(('Dota 2'!$N$11:$N$34=$B15)*'Dota 2'!$H$11:$H$34)),0)</f>
        <v>0</v>
      </c>
      <c r="J15" s="130" t="n">
        <f aca="false">IFERROR(SUMPRODUCT(MAX(('Tekken 8'!$N$11:$N$42=$B15)*'Tekken 8'!$H$11:$H$42)),0)</f>
        <v>0</v>
      </c>
      <c r="K15" s="130" t="n">
        <f aca="false">IFERROR(SUMPRODUCT(MAX(('Street Fighter 6'!$O$11:$O$42=$B15)*'Street Fighter 6'!$I$11:$I$42)),0)</f>
        <v>0</v>
      </c>
      <c r="L15" s="130" t="n">
        <f aca="false">IFERROR(SUMPRODUCT(MAX(('Fatal Fury CotW'!$L$11:$L$42=$B15)*'Fatal Fury CotW'!$F$11:$F$42)),0)</f>
        <v>200</v>
      </c>
      <c r="M15" s="130" t="n">
        <f aca="false">IFERROR(SUMPRODUCT(MAX((TFT!$N$11:$N$26=$B15)*TFT!$H$11:$H$26)),0)</f>
        <v>0</v>
      </c>
      <c r="N15" s="130" t="n">
        <f aca="false">IFERROR(SUMPRODUCT(MAX(('Rainbow Six'!$P$11:$P$32=$B15)*'Rainbow Six'!$J$11:$J$32)),0)</f>
        <v>0</v>
      </c>
      <c r="O15" s="130" t="n">
        <f aca="false">IFERROR(SUMPRODUCT(MAX((Warzone!$M$11:$M$42=$B15)*Warzone!$G$11:$G$42)),0)</f>
        <v>750</v>
      </c>
      <c r="P15" s="130" t="n">
        <f aca="false">IFERROR(SUMPRODUCT(MAX((Valorant!$N$11:$N$26=$B15)*Valorant!$H$11:$H$26)),0)</f>
        <v>0</v>
      </c>
      <c r="Q15" s="130" t="n">
        <f aca="false">IFERROR(SUMPRODUCT(MAX(('MLBB (MSC)'!$M$11:$M$35=$B15)*'MLBB (MSC)'!$G$11:$G$35)),0)</f>
        <v>0</v>
      </c>
      <c r="R15" s="130" t="n">
        <f aca="false">IFERROR(SUMPRODUCT(MAX(('Apex Legends'!$O$11:$O$50=$B15)*'Apex Legends'!$I$11:$I$50)),0)</f>
        <v>0</v>
      </c>
      <c r="S15" s="130" t="n">
        <f aca="false">IFERROR(SUMPRODUCT(MAX(('Honor of Kings'!$N$11:$N$30=$B15)*'Honor of Kings'!$H$11:$H$30)),0)</f>
        <v>0</v>
      </c>
      <c r="T15" s="130" t="n">
        <f aca="false">IFERROR(SUMPRODUCT(MAX((CrossFire!$L$11:$L$26=$B15)*CrossFire!$F$11:$F$26)),0)</f>
        <v>0</v>
      </c>
      <c r="U15" s="130" t="n">
        <f aca="false">IFERROR(SUMPRODUCT(MAX(('Free Fire'!$M$11:$M$34=$B15)*'Free Fire'!$G$11:$G$34)),0)</f>
        <v>0</v>
      </c>
      <c r="V15" s="130" t="n">
        <f aca="false">IFERROR(SUMPRODUCT(MAX(('EA FC 26'!$N$11:$N$46=$B15)*'EA FC 26'!$H$11:$H$46)),0)</f>
        <v>0</v>
      </c>
      <c r="W15" s="130" t="n">
        <f aca="false">IFERROR(SUMPRODUCT(MAX(('Black Ops 7'!$O$11:$O$26=$B15)*'Black Ops 7'!$J$11:$J$26)),0)</f>
        <v>0</v>
      </c>
      <c r="X15" s="130" t="n">
        <f aca="false">IFERROR(SUMPRODUCT(MAX(('Rocket League'!$P$11:$P$26=$B15)*'Rocket League'!$J$11:$J$26)),0)</f>
        <v>0</v>
      </c>
      <c r="Y15" s="130" t="n">
        <f aca="false">IFERROR(SUMPRODUCT(MAX(('Overwatch 2'!$L$11:$L$26=$B15)*'Overwatch 2'!$F$11:$F$26)),0)</f>
        <v>500</v>
      </c>
      <c r="Z15" s="130" t="n">
        <f aca="false">IFERROR(SUMPRODUCT(MAX((PUBG!$L$11:$L$34=$B15)*PUBG!$F$11:$F$34)),0)</f>
        <v>0</v>
      </c>
      <c r="AA15" s="130" t="n">
        <f aca="false">IFERROR(SUMPRODUCT(MAX(('MLBB Women'!$L$11:$L$26=$B15)*'MLBB Women'!$F$11:$F$26)),0)</f>
        <v>0</v>
      </c>
      <c r="AB15" s="130" t="n">
        <f aca="false">SUM(C15:AA15)</f>
        <v>1800</v>
      </c>
      <c r="AC15" s="130" t="n">
        <v>1800</v>
      </c>
      <c r="AD15" s="200" t="n">
        <f aca="false">AB15-AC15</f>
        <v>0</v>
      </c>
      <c r="AE15" s="82" t="str">
        <f aca="false">IF(AB15=0,"not started",IF(AD15=0,"reconciled",IF(AD15&gt;0,"CHECK NAMES","in progress")))</f>
        <v>reconciled</v>
      </c>
    </row>
    <row r="16" customFormat="false" ht="15" hidden="false" customHeight="true" outlineLevel="0" collapsed="false">
      <c r="B16" s="66" t="s">
        <v>178</v>
      </c>
      <c r="C16" s="130" t="n">
        <f aca="false">IFERROR(SUMIF(CS2!$L$11:$L$42,$B16,CS2!$F$11:$F$42),0)</f>
        <v>0</v>
      </c>
      <c r="D16" s="130" t="n">
        <f aca="false">IFERROR(SUMPRODUCT(MAX((Chess!$L$11:$L$32=$B16)*Chess!$F$11:$F$32)),0)</f>
        <v>0</v>
      </c>
      <c r="E16" s="130" t="n">
        <f aca="false">IFERROR(SUMPRODUCT(MAX((LoL!$L$11:$L$26=$B16)*LoL!$F$11:$F$26)),0)</f>
        <v>0</v>
      </c>
      <c r="F16" s="130" t="n">
        <f aca="false">IFERROR(SUMPRODUCT(MAX(('PUBG Mobile'!$L$11:$L$42=$B16)*'PUBG Mobile'!$F$11:$F$42)),0)</f>
        <v>0</v>
      </c>
      <c r="G16" s="130" t="n">
        <f aca="false">IFERROR(SUMPRODUCT(MAX(('Fortnite Reload'!$L$11:$L$50=$B16)*'Fortnite Reload'!$F$11:$F$50)),0)</f>
        <v>0</v>
      </c>
      <c r="H16" s="130" t="n">
        <f aca="false">IFERROR(SUMPRODUCT(MAX((Trackmania!$M$11:$M$42=$B16)*Trackmania!$G$11:$G$42)),0)</f>
        <v>0</v>
      </c>
      <c r="I16" s="130" t="n">
        <f aca="false">IFERROR(SUMPRODUCT(MAX(('Dota 2'!$N$11:$N$34=$B16)*'Dota 2'!$H$11:$H$34)),0)</f>
        <v>0</v>
      </c>
      <c r="J16" s="130" t="n">
        <f aca="false">IFERROR(SUMPRODUCT(MAX(('Tekken 8'!$N$11:$N$42=$B16)*'Tekken 8'!$H$11:$H$42)),0)</f>
        <v>0</v>
      </c>
      <c r="K16" s="130" t="n">
        <f aca="false">IFERROR(SUMPRODUCT(MAX(('Street Fighter 6'!$O$11:$O$42=$B16)*'Street Fighter 6'!$I$11:$I$42)),0)</f>
        <v>0</v>
      </c>
      <c r="L16" s="130" t="n">
        <f aca="false">IFERROR(SUMPRODUCT(MAX(('Fatal Fury CotW'!$L$11:$L$42=$B16)*'Fatal Fury CotW'!$F$11:$F$42)),0)</f>
        <v>0</v>
      </c>
      <c r="M16" s="130" t="n">
        <f aca="false">IFERROR(SUMPRODUCT(MAX((TFT!$N$11:$N$26=$B16)*TFT!$H$11:$H$26)),0)</f>
        <v>1000</v>
      </c>
      <c r="N16" s="130" t="n">
        <f aca="false">IFERROR(SUMPRODUCT(MAX(('Rainbow Six'!$P$11:$P$32=$B16)*'Rainbow Six'!$J$11:$J$32)),0)</f>
        <v>0</v>
      </c>
      <c r="O16" s="130" t="n">
        <f aca="false">IFERROR(SUMPRODUCT(MAX((Warzone!$M$11:$M$42=$B16)*Warzone!$G$11:$G$42)),0)</f>
        <v>0</v>
      </c>
      <c r="P16" s="130" t="n">
        <f aca="false">IFERROR(SUMPRODUCT(MAX((Valorant!$N$11:$N$26=$B16)*Valorant!$H$11:$H$26)),0)</f>
        <v>0</v>
      </c>
      <c r="Q16" s="130" t="n">
        <f aca="false">IFERROR(SUMPRODUCT(MAX(('MLBB (MSC)'!$M$11:$M$35=$B16)*'MLBB (MSC)'!$G$11:$G$35)),0)</f>
        <v>0</v>
      </c>
      <c r="R16" s="130" t="n">
        <f aca="false">IFERROR(SUMPRODUCT(MAX(('Apex Legends'!$O$11:$O$50=$B16)*'Apex Legends'!$I$11:$I$50)),0)</f>
        <v>750</v>
      </c>
      <c r="S16" s="130" t="n">
        <f aca="false">IFERROR(SUMPRODUCT(MAX(('Honor of Kings'!$N$11:$N$30=$B16)*'Honor of Kings'!$H$11:$H$30)),0)</f>
        <v>0</v>
      </c>
      <c r="T16" s="130" t="n">
        <f aca="false">IFERROR(SUMPRODUCT(MAX((CrossFire!$L$11:$L$26=$B16)*CrossFire!$F$11:$F$26)),0)</f>
        <v>0</v>
      </c>
      <c r="U16" s="130" t="n">
        <f aca="false">IFERROR(SUMPRODUCT(MAX(('Free Fire'!$M$11:$M$34=$B16)*'Free Fire'!$G$11:$G$34)),0)</f>
        <v>0</v>
      </c>
      <c r="V16" s="130" t="n">
        <f aca="false">IFERROR(SUMPRODUCT(MAX(('EA FC 26'!$N$11:$N$46=$B16)*'EA FC 26'!$H$11:$H$46)),0)</f>
        <v>0</v>
      </c>
      <c r="W16" s="130" t="n">
        <f aca="false">IFERROR(SUMPRODUCT(MAX(('Black Ops 7'!$O$11:$O$26=$B16)*'Black Ops 7'!$J$11:$J$26)),0)</f>
        <v>0</v>
      </c>
      <c r="X16" s="130" t="n">
        <f aca="false">IFERROR(SUMPRODUCT(MAX(('Rocket League'!$P$11:$P$26=$B16)*'Rocket League'!$J$11:$J$26)),0)</f>
        <v>0</v>
      </c>
      <c r="Y16" s="130" t="n">
        <f aca="false">IFERROR(SUMPRODUCT(MAX(('Overwatch 2'!$L$11:$L$26=$B16)*'Overwatch 2'!$F$11:$F$26)),0)</f>
        <v>0</v>
      </c>
      <c r="Z16" s="130" t="n">
        <f aca="false">IFERROR(SUMPRODUCT(MAX((PUBG!$L$11:$L$34=$B16)*PUBG!$F$11:$F$34)),0)</f>
        <v>0</v>
      </c>
      <c r="AA16" s="130" t="n">
        <f aca="false">IFERROR(SUMPRODUCT(MAX(('MLBB Women'!$L$11:$L$26=$B16)*'MLBB Women'!$F$11:$F$26)),0)</f>
        <v>0</v>
      </c>
      <c r="AB16" s="130" t="n">
        <f aca="false">SUM(C16:AA16)</f>
        <v>1750</v>
      </c>
      <c r="AC16" s="130" t="n">
        <v>1750</v>
      </c>
      <c r="AD16" s="200" t="n">
        <f aca="false">AB16-AC16</f>
        <v>0</v>
      </c>
      <c r="AE16" s="82" t="str">
        <f aca="false">IF(AB16=0,"not started",IF(AD16=0,"reconciled",IF(AD16&gt;0,"CHECK NAMES","in progress")))</f>
        <v>reconciled</v>
      </c>
    </row>
    <row r="17" customFormat="false" ht="15" hidden="false" customHeight="true" outlineLevel="0" collapsed="false">
      <c r="B17" s="66" t="s">
        <v>230</v>
      </c>
      <c r="C17" s="130" t="n">
        <f aca="false">IFERROR(SUMIF(CS2!$L$11:$L$42,$B17,CS2!$F$11:$F$42),0)</f>
        <v>0</v>
      </c>
      <c r="D17" s="130" t="n">
        <f aca="false">IFERROR(SUMPRODUCT(MAX((Chess!$L$11:$L$32=$B17)*Chess!$F$11:$F$32)),0)</f>
        <v>0</v>
      </c>
      <c r="E17" s="130" t="n">
        <f aca="false">IFERROR(SUMPRODUCT(MAX((LoL!$L$11:$L$26=$B17)*LoL!$F$11:$F$26)),0)</f>
        <v>0</v>
      </c>
      <c r="F17" s="130" t="n">
        <f aca="false">IFERROR(SUMPRODUCT(MAX(('PUBG Mobile'!$L$11:$L$42=$B17)*'PUBG Mobile'!$F$11:$F$42)),0)</f>
        <v>0</v>
      </c>
      <c r="G17" s="130" t="n">
        <f aca="false">IFERROR(SUMPRODUCT(MAX(('Fortnite Reload'!$L$11:$L$50=$B17)*'Fortnite Reload'!$F$11:$F$50)),0)</f>
        <v>0</v>
      </c>
      <c r="H17" s="130" t="n">
        <f aca="false">IFERROR(SUMPRODUCT(MAX((Trackmania!$M$11:$M$42=$B17)*Trackmania!$G$11:$G$42)),0)</f>
        <v>0</v>
      </c>
      <c r="I17" s="130" t="n">
        <f aca="false">IFERROR(SUMPRODUCT(MAX(('Dota 2'!$N$11:$N$34=$B17)*'Dota 2'!$H$11:$H$34)),0)</f>
        <v>0</v>
      </c>
      <c r="J17" s="130" t="n">
        <f aca="false">IFERROR(SUMPRODUCT(MAX(('Tekken 8'!$N$11:$N$42=$B17)*'Tekken 8'!$H$11:$H$42)),0)</f>
        <v>0</v>
      </c>
      <c r="K17" s="130" t="n">
        <f aca="false">IFERROR(SUMPRODUCT(MAX(('Street Fighter 6'!$O$11:$O$42=$B17)*'Street Fighter 6'!$I$11:$I$42)),0)</f>
        <v>0</v>
      </c>
      <c r="L17" s="130" t="n">
        <f aca="false">IFERROR(SUMPRODUCT(MAX(('Fatal Fury CotW'!$L$11:$L$42=$B17)*'Fatal Fury CotW'!$F$11:$F$42)),0)</f>
        <v>0</v>
      </c>
      <c r="M17" s="130" t="n">
        <f aca="false">IFERROR(SUMPRODUCT(MAX((TFT!$N$11:$N$26=$B17)*TFT!$H$11:$H$26)),0)</f>
        <v>0</v>
      </c>
      <c r="N17" s="130" t="n">
        <f aca="false">IFERROR(SUMPRODUCT(MAX(('Rainbow Six'!$P$11:$P$32=$B17)*'Rainbow Six'!$J$11:$J$32)),0)</f>
        <v>0</v>
      </c>
      <c r="O17" s="130" t="n">
        <f aca="false">IFERROR(SUMPRODUCT(MAX((Warzone!$M$11:$M$42=$B17)*Warzone!$G$11:$G$42)),0)</f>
        <v>0</v>
      </c>
      <c r="P17" s="130" t="n">
        <f aca="false">IFERROR(SUMPRODUCT(MAX((Valorant!$N$11:$N$26=$B17)*Valorant!$H$11:$H$26)),0)</f>
        <v>1000</v>
      </c>
      <c r="Q17" s="130" t="n">
        <f aca="false">IFERROR(SUMPRODUCT(MAX(('MLBB (MSC)'!$M$11:$M$35=$B17)*'MLBB (MSC)'!$G$11:$G$35)),0)</f>
        <v>0</v>
      </c>
      <c r="R17" s="130" t="n">
        <f aca="false">IFERROR(SUMPRODUCT(MAX(('Apex Legends'!$O$11:$O$50=$B17)*'Apex Legends'!$I$11:$I$50)),0)</f>
        <v>0</v>
      </c>
      <c r="S17" s="130" t="n">
        <f aca="false">IFERROR(SUMPRODUCT(MAX(('Honor of Kings'!$N$11:$N$30=$B17)*'Honor of Kings'!$H$11:$H$30)),0)</f>
        <v>0</v>
      </c>
      <c r="T17" s="130" t="n">
        <f aca="false">IFERROR(SUMPRODUCT(MAX((CrossFire!$L$11:$L$26=$B17)*CrossFire!$F$11:$F$26)),0)</f>
        <v>0</v>
      </c>
      <c r="U17" s="130" t="n">
        <f aca="false">IFERROR(SUMPRODUCT(MAX(('Free Fire'!$M$11:$M$34=$B17)*'Free Fire'!$G$11:$G$34)),0)</f>
        <v>0</v>
      </c>
      <c r="V17" s="130" t="n">
        <f aca="false">IFERROR(SUMPRODUCT(MAX(('EA FC 26'!$N$11:$N$46=$B17)*'EA FC 26'!$H$11:$H$46)),0)</f>
        <v>0</v>
      </c>
      <c r="W17" s="130" t="n">
        <f aca="false">IFERROR(SUMPRODUCT(MAX(('Black Ops 7'!$O$11:$O$26=$B17)*'Black Ops 7'!$J$11:$J$26)),0)</f>
        <v>500</v>
      </c>
      <c r="X17" s="130" t="n">
        <f aca="false">IFERROR(SUMPRODUCT(MAX(('Rocket League'!$P$11:$P$26=$B17)*'Rocket League'!$J$11:$J$26)),0)</f>
        <v>0</v>
      </c>
      <c r="Y17" s="130" t="n">
        <f aca="false">IFERROR(SUMPRODUCT(MAX(('Overwatch 2'!$L$11:$L$26=$B17)*'Overwatch 2'!$F$11:$F$26)),0)</f>
        <v>0</v>
      </c>
      <c r="Z17" s="130" t="n">
        <f aca="false">IFERROR(SUMPRODUCT(MAX((PUBG!$L$11:$L$34=$B17)*PUBG!$F$11:$F$34)),0)</f>
        <v>0</v>
      </c>
      <c r="AA17" s="130" t="n">
        <f aca="false">IFERROR(SUMPRODUCT(MAX(('MLBB Women'!$L$11:$L$26=$B17)*'MLBB Women'!$F$11:$F$26)),0)</f>
        <v>0</v>
      </c>
      <c r="AB17" s="130" t="n">
        <f aca="false">SUM(C17:AA17)</f>
        <v>1500</v>
      </c>
      <c r="AC17" s="130" t="n">
        <v>1500</v>
      </c>
      <c r="AD17" s="200" t="n">
        <f aca="false">AB17-AC17</f>
        <v>0</v>
      </c>
      <c r="AE17" s="82" t="str">
        <f aca="false">IF(AB17=0,"not started",IF(AD17=0,"reconciled",IF(AD17&gt;0,"CHECK NAMES","in progress")))</f>
        <v>reconciled</v>
      </c>
    </row>
    <row r="18" customFormat="false" ht="15" hidden="false" customHeight="true" outlineLevel="0" collapsed="false">
      <c r="B18" s="66" t="s">
        <v>208</v>
      </c>
      <c r="C18" s="130" t="n">
        <f aca="false">IFERROR(SUMIF(CS2!$L$11:$L$42,$B18,CS2!$F$11:$F$42),0)</f>
        <v>0</v>
      </c>
      <c r="D18" s="130" t="n">
        <f aca="false">IFERROR(SUMPRODUCT(MAX((Chess!$L$11:$L$32=$B18)*Chess!$F$11:$F$32)),0)</f>
        <v>0</v>
      </c>
      <c r="E18" s="130" t="n">
        <f aca="false">IFERROR(SUMPRODUCT(MAX((LoL!$L$11:$L$26=$B18)*LoL!$F$11:$F$26)),0)</f>
        <v>0</v>
      </c>
      <c r="F18" s="130" t="n">
        <f aca="false">IFERROR(SUMPRODUCT(MAX(('PUBG Mobile'!$L$11:$L$42=$B18)*'PUBG Mobile'!$F$11:$F$42)),0)</f>
        <v>0</v>
      </c>
      <c r="G18" s="130" t="n">
        <f aca="false">IFERROR(SUMPRODUCT(MAX(('Fortnite Reload'!$L$11:$L$50=$B18)*'Fortnite Reload'!$F$11:$F$50)),0)</f>
        <v>0</v>
      </c>
      <c r="H18" s="130" t="n">
        <f aca="false">IFERROR(SUMPRODUCT(MAX((Trackmania!$M$11:$M$42=$B18)*Trackmania!$G$11:$G$42)),0)</f>
        <v>0</v>
      </c>
      <c r="I18" s="130" t="n">
        <f aca="false">IFERROR(SUMPRODUCT(MAX(('Dota 2'!$N$11:$N$34=$B18)*'Dota 2'!$H$11:$H$34)),0)</f>
        <v>0</v>
      </c>
      <c r="J18" s="130" t="n">
        <f aca="false">IFERROR(SUMPRODUCT(MAX(('Tekken 8'!$N$11:$N$42=$B18)*'Tekken 8'!$H$11:$H$42)),0)</f>
        <v>0</v>
      </c>
      <c r="K18" s="130" t="n">
        <f aca="false">IFERROR(SUMPRODUCT(MAX(('Street Fighter 6'!$O$11:$O$42=$B18)*'Street Fighter 6'!$I$11:$I$42)),0)</f>
        <v>300</v>
      </c>
      <c r="L18" s="130" t="n">
        <f aca="false">IFERROR(SUMPRODUCT(MAX(('Fatal Fury CotW'!$L$11:$L$42=$B18)*'Fatal Fury CotW'!$F$11:$F$42)),0)</f>
        <v>0</v>
      </c>
      <c r="M18" s="130" t="n">
        <f aca="false">IFERROR(SUMPRODUCT(MAX((TFT!$N$11:$N$26=$B18)*TFT!$H$11:$H$26)),0)</f>
        <v>0</v>
      </c>
      <c r="N18" s="130" t="n">
        <f aca="false">IFERROR(SUMPRODUCT(MAX(('Rainbow Six'!$P$11:$P$32=$B18)*'Rainbow Six'!$J$11:$J$32)),0)</f>
        <v>0</v>
      </c>
      <c r="O18" s="130" t="n">
        <f aca="false">IFERROR(SUMPRODUCT(MAX((Warzone!$M$11:$M$42=$B18)*Warzone!$G$11:$G$42)),0)</f>
        <v>0</v>
      </c>
      <c r="P18" s="130" t="n">
        <f aca="false">IFERROR(SUMPRODUCT(MAX((Valorant!$N$11:$N$26=$B18)*Valorant!$H$11:$H$26)),0)</f>
        <v>0</v>
      </c>
      <c r="Q18" s="130" t="n">
        <f aca="false">IFERROR(SUMPRODUCT(MAX(('MLBB (MSC)'!$M$11:$M$35=$B18)*'MLBB (MSC)'!$G$11:$G$35)),0)</f>
        <v>0</v>
      </c>
      <c r="R18" s="130" t="n">
        <f aca="false">IFERROR(SUMPRODUCT(MAX(('Apex Legends'!$O$11:$O$50=$B18)*'Apex Legends'!$I$11:$I$50)),0)</f>
        <v>200</v>
      </c>
      <c r="S18" s="130" t="n">
        <f aca="false">IFERROR(SUMPRODUCT(MAX(('Honor of Kings'!$N$11:$N$30=$B18)*'Honor of Kings'!$H$11:$H$30)),0)</f>
        <v>0</v>
      </c>
      <c r="T18" s="130" t="n">
        <f aca="false">IFERROR(SUMPRODUCT(MAX((CrossFire!$L$11:$L$26=$B18)*CrossFire!$F$11:$F$26)),0)</f>
        <v>0</v>
      </c>
      <c r="U18" s="130" t="n">
        <f aca="false">IFERROR(SUMPRODUCT(MAX(('Free Fire'!$M$11:$M$34=$B18)*'Free Fire'!$G$11:$G$34)),0)</f>
        <v>0</v>
      </c>
      <c r="V18" s="130" t="n">
        <f aca="false">IFERROR(SUMPRODUCT(MAX(('EA FC 26'!$N$11:$N$46=$B18)*'EA FC 26'!$H$11:$H$46)),0)</f>
        <v>0</v>
      </c>
      <c r="W18" s="130" t="n">
        <f aca="false">IFERROR(SUMPRODUCT(MAX(('Black Ops 7'!$O$11:$O$26=$B18)*'Black Ops 7'!$J$11:$J$26)),0)</f>
        <v>0</v>
      </c>
      <c r="X18" s="130" t="n">
        <f aca="false">IFERROR(SUMPRODUCT(MAX(('Rocket League'!$P$11:$P$26=$B18)*'Rocket League'!$J$11:$J$26)),0)</f>
        <v>0</v>
      </c>
      <c r="Y18" s="130" t="n">
        <f aca="false">IFERROR(SUMPRODUCT(MAX(('Overwatch 2'!$L$11:$L$26=$B18)*'Overwatch 2'!$F$11:$F$26)),0)</f>
        <v>1000</v>
      </c>
      <c r="Z18" s="130" t="n">
        <f aca="false">IFERROR(SUMPRODUCT(MAX((PUBG!$L$11:$L$34=$B18)*PUBG!$F$11:$F$34)),0)</f>
        <v>0</v>
      </c>
      <c r="AA18" s="130" t="n">
        <f aca="false">IFERROR(SUMPRODUCT(MAX(('MLBB Women'!$L$11:$L$26=$B18)*'MLBB Women'!$F$11:$F$26)),0)</f>
        <v>0</v>
      </c>
      <c r="AB18" s="130" t="n">
        <f aca="false">SUM(C18:AA18)</f>
        <v>1500</v>
      </c>
      <c r="AC18" s="130" t="n">
        <v>1500</v>
      </c>
      <c r="AD18" s="200" t="n">
        <f aca="false">AB18-AC18</f>
        <v>0</v>
      </c>
      <c r="AE18" s="82" t="str">
        <f aca="false">IF(AB18=0,"not started",IF(AD18=0,"reconciled",IF(AD18&gt;0,"CHECK NAMES","in progress")))</f>
        <v>reconciled</v>
      </c>
    </row>
    <row r="19" customFormat="false" ht="15" hidden="false" customHeight="true" outlineLevel="0" collapsed="false">
      <c r="B19" s="66" t="s">
        <v>255</v>
      </c>
      <c r="C19" s="130" t="n">
        <f aca="false">IFERROR(SUMIF(CS2!$L$11:$L$42,$B19,CS2!$F$11:$F$42),0)</f>
        <v>0</v>
      </c>
      <c r="D19" s="130" t="n">
        <f aca="false">IFERROR(SUMPRODUCT(MAX((Chess!$L$11:$L$32=$B19)*Chess!$F$11:$F$32)),0)</f>
        <v>0</v>
      </c>
      <c r="E19" s="130" t="n">
        <f aca="false">IFERROR(SUMPRODUCT(MAX((LoL!$L$11:$L$26=$B19)*LoL!$F$11:$F$26)),0)</f>
        <v>0</v>
      </c>
      <c r="F19" s="130" t="n">
        <f aca="false">IFERROR(SUMPRODUCT(MAX(('PUBG Mobile'!$L$11:$L$42=$B19)*'PUBG Mobile'!$F$11:$F$42)),0)</f>
        <v>750</v>
      </c>
      <c r="G19" s="130" t="n">
        <f aca="false">IFERROR(SUMPRODUCT(MAX(('Fortnite Reload'!$L$11:$L$50=$B19)*'Fortnite Reload'!$F$11:$F$50)),0)</f>
        <v>0</v>
      </c>
      <c r="H19" s="130" t="n">
        <f aca="false">IFERROR(SUMPRODUCT(MAX((Trackmania!$M$11:$M$42=$B19)*Trackmania!$G$11:$G$42)),0)</f>
        <v>0</v>
      </c>
      <c r="I19" s="130" t="n">
        <f aca="false">IFERROR(SUMPRODUCT(MAX(('Dota 2'!$N$11:$N$34=$B19)*'Dota 2'!$H$11:$H$34)),0)</f>
        <v>0</v>
      </c>
      <c r="J19" s="130" t="n">
        <f aca="false">IFERROR(SUMPRODUCT(MAX(('Tekken 8'!$N$11:$N$42=$B19)*'Tekken 8'!$H$11:$H$42)),0)</f>
        <v>0</v>
      </c>
      <c r="K19" s="130" t="n">
        <f aca="false">IFERROR(SUMPRODUCT(MAX(('Street Fighter 6'!$O$11:$O$42=$B19)*'Street Fighter 6'!$I$11:$I$42)),0)</f>
        <v>0</v>
      </c>
      <c r="L19" s="130" t="n">
        <f aca="false">IFERROR(SUMPRODUCT(MAX(('Fatal Fury CotW'!$L$11:$L$42=$B19)*'Fatal Fury CotW'!$F$11:$F$42)),0)</f>
        <v>0</v>
      </c>
      <c r="M19" s="130" t="n">
        <f aca="false">IFERROR(SUMPRODUCT(MAX((TFT!$N$11:$N$26=$B19)*TFT!$H$11:$H$26)),0)</f>
        <v>0</v>
      </c>
      <c r="N19" s="130" t="n">
        <f aca="false">IFERROR(SUMPRODUCT(MAX(('Rainbow Six'!$P$11:$P$32=$B19)*'Rainbow Six'!$J$11:$J$32)),0)</f>
        <v>0</v>
      </c>
      <c r="O19" s="130" t="n">
        <f aca="false">IFERROR(SUMPRODUCT(MAX((Warzone!$M$11:$M$42=$B19)*Warzone!$G$11:$G$42)),0)</f>
        <v>0</v>
      </c>
      <c r="P19" s="130" t="n">
        <f aca="false">IFERROR(SUMPRODUCT(MAX((Valorant!$N$11:$N$26=$B19)*Valorant!$H$11:$H$26)),0)</f>
        <v>500</v>
      </c>
      <c r="Q19" s="130" t="n">
        <f aca="false">IFERROR(SUMPRODUCT(MAX(('MLBB (MSC)'!$M$11:$M$35=$B19)*'MLBB (MSC)'!$G$11:$G$35)),0)</f>
        <v>0</v>
      </c>
      <c r="R19" s="130" t="n">
        <f aca="false">IFERROR(SUMPRODUCT(MAX(('Apex Legends'!$O$11:$O$50=$B19)*'Apex Legends'!$I$11:$I$50)),0)</f>
        <v>0</v>
      </c>
      <c r="S19" s="130" t="n">
        <f aca="false">IFERROR(SUMPRODUCT(MAX(('Honor of Kings'!$N$11:$N$30=$B19)*'Honor of Kings'!$H$11:$H$30)),0)</f>
        <v>0</v>
      </c>
      <c r="T19" s="130" t="n">
        <f aca="false">IFERROR(SUMPRODUCT(MAX((CrossFire!$L$11:$L$26=$B19)*CrossFire!$F$11:$F$26)),0)</f>
        <v>0</v>
      </c>
      <c r="U19" s="130" t="n">
        <f aca="false">IFERROR(SUMPRODUCT(MAX(('Free Fire'!$M$11:$M$34=$B19)*'Free Fire'!$G$11:$G$34)),0)</f>
        <v>0</v>
      </c>
      <c r="V19" s="130" t="n">
        <f aca="false">IFERROR(SUMPRODUCT(MAX(('EA FC 26'!$N$11:$N$46=$B19)*'EA FC 26'!$H$11:$H$46)),0)</f>
        <v>0</v>
      </c>
      <c r="W19" s="130" t="n">
        <f aca="false">IFERROR(SUMPRODUCT(MAX(('Black Ops 7'!$O$11:$O$26=$B19)*'Black Ops 7'!$J$11:$J$26)),0)</f>
        <v>0</v>
      </c>
      <c r="X19" s="130" t="n">
        <f aca="false">IFERROR(SUMPRODUCT(MAX(('Rocket League'!$P$11:$P$26=$B19)*'Rocket League'!$J$11:$J$26)),0)</f>
        <v>0</v>
      </c>
      <c r="Y19" s="130" t="n">
        <f aca="false">IFERROR(SUMPRODUCT(MAX(('Overwatch 2'!$L$11:$L$26=$B19)*'Overwatch 2'!$F$11:$F$26)),0)</f>
        <v>0</v>
      </c>
      <c r="Z19" s="130" t="n">
        <f aca="false">IFERROR(SUMPRODUCT(MAX((PUBG!$L$11:$L$34=$B19)*PUBG!$F$11:$F$34)),0)</f>
        <v>0</v>
      </c>
      <c r="AA19" s="130" t="n">
        <f aca="false">IFERROR(SUMPRODUCT(MAX(('MLBB Women'!$L$11:$L$26=$B19)*'MLBB Women'!$F$11:$F$26)),0)</f>
        <v>0</v>
      </c>
      <c r="AB19" s="130" t="n">
        <f aca="false">SUM(C19:AA19)</f>
        <v>1250</v>
      </c>
      <c r="AC19" s="130" t="n">
        <v>1250</v>
      </c>
      <c r="AD19" s="200" t="n">
        <f aca="false">AB19-AC19</f>
        <v>0</v>
      </c>
      <c r="AE19" s="82" t="str">
        <f aca="false">IF(AB19=0,"not started",IF(AD19=0,"reconciled",IF(AD19&gt;0,"CHECK NAMES","in progress")))</f>
        <v>reconciled</v>
      </c>
    </row>
    <row r="20" customFormat="false" ht="15" hidden="false" customHeight="true" outlineLevel="0" collapsed="false">
      <c r="B20" s="66" t="s">
        <v>273</v>
      </c>
      <c r="C20" s="130" t="n">
        <f aca="false">IFERROR(SUMIF(CS2!$L$11:$L$42,$B20,CS2!$F$11:$F$42),0)</f>
        <v>0</v>
      </c>
      <c r="D20" s="130" t="n">
        <f aca="false">IFERROR(SUMPRODUCT(MAX((Chess!$L$11:$L$32=$B20)*Chess!$F$11:$F$32)),0)</f>
        <v>0</v>
      </c>
      <c r="E20" s="130" t="n">
        <f aca="false">IFERROR(SUMPRODUCT(MAX((LoL!$L$11:$L$26=$B20)*LoL!$F$11:$F$26)),0)</f>
        <v>0</v>
      </c>
      <c r="F20" s="130" t="n">
        <f aca="false">IFERROR(SUMPRODUCT(MAX(('PUBG Mobile'!$L$11:$L$42=$B20)*'PUBG Mobile'!$F$11:$F$42)),0)</f>
        <v>0</v>
      </c>
      <c r="G20" s="130" t="n">
        <f aca="false">IFERROR(SUMPRODUCT(MAX(('Fortnite Reload'!$L$11:$L$50=$B20)*'Fortnite Reload'!$F$11:$F$50)),0)</f>
        <v>1000</v>
      </c>
      <c r="H20" s="130" t="n">
        <f aca="false">IFERROR(SUMPRODUCT(MAX((Trackmania!$M$11:$M$42=$B20)*Trackmania!$G$11:$G$42)),0)</f>
        <v>200</v>
      </c>
      <c r="I20" s="130" t="n">
        <f aca="false">IFERROR(SUMPRODUCT(MAX(('Dota 2'!$N$11:$N$34=$B20)*'Dota 2'!$H$11:$H$34)),0)</f>
        <v>0</v>
      </c>
      <c r="J20" s="130" t="n">
        <f aca="false">IFERROR(SUMPRODUCT(MAX(('Tekken 8'!$N$11:$N$42=$B20)*'Tekken 8'!$H$11:$H$42)),0)</f>
        <v>0</v>
      </c>
      <c r="K20" s="130" t="n">
        <f aca="false">IFERROR(SUMPRODUCT(MAX(('Street Fighter 6'!$O$11:$O$42=$B20)*'Street Fighter 6'!$I$11:$I$42)),0)</f>
        <v>0</v>
      </c>
      <c r="L20" s="130" t="n">
        <f aca="false">IFERROR(SUMPRODUCT(MAX(('Fatal Fury CotW'!$L$11:$L$42=$B20)*'Fatal Fury CotW'!$F$11:$F$42)),0)</f>
        <v>0</v>
      </c>
      <c r="M20" s="130" t="n">
        <f aca="false">IFERROR(SUMPRODUCT(MAX((TFT!$N$11:$N$26=$B20)*TFT!$H$11:$H$26)),0)</f>
        <v>0</v>
      </c>
      <c r="N20" s="130" t="n">
        <f aca="false">IFERROR(SUMPRODUCT(MAX(('Rainbow Six'!$P$11:$P$32=$B20)*'Rainbow Six'!$J$11:$J$32)),0)</f>
        <v>0</v>
      </c>
      <c r="O20" s="130" t="n">
        <f aca="false">IFERROR(SUMPRODUCT(MAX((Warzone!$M$11:$M$42=$B20)*Warzone!$G$11:$G$42)),0)</f>
        <v>0</v>
      </c>
      <c r="P20" s="130" t="n">
        <f aca="false">IFERROR(SUMPRODUCT(MAX((Valorant!$N$11:$N$26=$B20)*Valorant!$H$11:$H$26)),0)</f>
        <v>0</v>
      </c>
      <c r="Q20" s="130" t="n">
        <f aca="false">IFERROR(SUMPRODUCT(MAX(('MLBB (MSC)'!$M$11:$M$35=$B20)*'MLBB (MSC)'!$G$11:$G$35)),0)</f>
        <v>0</v>
      </c>
      <c r="R20" s="130" t="n">
        <f aca="false">IFERROR(SUMPRODUCT(MAX(('Apex Legends'!$O$11:$O$50=$B20)*'Apex Legends'!$I$11:$I$50)),0)</f>
        <v>0</v>
      </c>
      <c r="S20" s="130" t="n">
        <f aca="false">IFERROR(SUMPRODUCT(MAX(('Honor of Kings'!$N$11:$N$30=$B20)*'Honor of Kings'!$H$11:$H$30)),0)</f>
        <v>0</v>
      </c>
      <c r="T20" s="130" t="n">
        <f aca="false">IFERROR(SUMPRODUCT(MAX((CrossFire!$L$11:$L$26=$B20)*CrossFire!$F$11:$F$26)),0)</f>
        <v>0</v>
      </c>
      <c r="U20" s="130" t="n">
        <f aca="false">IFERROR(SUMPRODUCT(MAX(('Free Fire'!$M$11:$M$34=$B20)*'Free Fire'!$G$11:$G$34)),0)</f>
        <v>0</v>
      </c>
      <c r="V20" s="130" t="n">
        <f aca="false">IFERROR(SUMPRODUCT(MAX(('EA FC 26'!$N$11:$N$46=$B20)*'EA FC 26'!$H$11:$H$46)),0)</f>
        <v>0</v>
      </c>
      <c r="W20" s="130" t="n">
        <f aca="false">IFERROR(SUMPRODUCT(MAX(('Black Ops 7'!$O$11:$O$26=$B20)*'Black Ops 7'!$J$11:$J$26)),0)</f>
        <v>0</v>
      </c>
      <c r="X20" s="130" t="n">
        <f aca="false">IFERROR(SUMPRODUCT(MAX(('Rocket League'!$P$11:$P$26=$B20)*'Rocket League'!$J$11:$J$26)),0)</f>
        <v>0</v>
      </c>
      <c r="Y20" s="130" t="n">
        <f aca="false">IFERROR(SUMPRODUCT(MAX(('Overwatch 2'!$L$11:$L$26=$B20)*'Overwatch 2'!$F$11:$F$26)),0)</f>
        <v>0</v>
      </c>
      <c r="Z20" s="130" t="n">
        <f aca="false">IFERROR(SUMPRODUCT(MAX((PUBG!$L$11:$L$34=$B20)*PUBG!$F$11:$F$34)),0)</f>
        <v>0</v>
      </c>
      <c r="AA20" s="130" t="n">
        <f aca="false">IFERROR(SUMPRODUCT(MAX(('MLBB Women'!$L$11:$L$26=$B20)*'MLBB Women'!$F$11:$F$26)),0)</f>
        <v>0</v>
      </c>
      <c r="AB20" s="130" t="n">
        <f aca="false">SUM(C20:AA20)</f>
        <v>1200</v>
      </c>
      <c r="AC20" s="130" t="n">
        <v>1200</v>
      </c>
      <c r="AD20" s="200" t="n">
        <f aca="false">AB20-AC20</f>
        <v>0</v>
      </c>
      <c r="AE20" s="82" t="str">
        <f aca="false">IF(AB20=0,"not started",IF(AD20=0,"reconciled",IF(AD20&gt;0,"CHECK NAMES","in progress")))</f>
        <v>reconciled</v>
      </c>
    </row>
    <row r="21" customFormat="false" ht="15" hidden="false" customHeight="true" outlineLevel="0" collapsed="false">
      <c r="B21" s="66" t="s">
        <v>281</v>
      </c>
      <c r="C21" s="130" t="n">
        <f aca="false">IFERROR(SUMIF(CS2!$L$11:$L$42,$B21,CS2!$F$11:$F$42),0)</f>
        <v>0</v>
      </c>
      <c r="D21" s="130" t="n">
        <f aca="false">IFERROR(SUMPRODUCT(MAX((Chess!$L$11:$L$32=$B21)*Chess!$F$11:$F$32)),0)</f>
        <v>0</v>
      </c>
      <c r="E21" s="130" t="n">
        <f aca="false">IFERROR(SUMPRODUCT(MAX((LoL!$L$11:$L$26=$B21)*LoL!$F$11:$F$26)),0)</f>
        <v>0</v>
      </c>
      <c r="F21" s="130" t="n">
        <f aca="false">IFERROR(SUMPRODUCT(MAX(('PUBG Mobile'!$L$11:$L$42=$B21)*'PUBG Mobile'!$F$11:$F$42)),0)</f>
        <v>0</v>
      </c>
      <c r="G21" s="130" t="n">
        <f aca="false">IFERROR(SUMPRODUCT(MAX(('Fortnite Reload'!$L$11:$L$50=$B21)*'Fortnite Reload'!$F$11:$F$50)),0)</f>
        <v>0</v>
      </c>
      <c r="H21" s="130" t="n">
        <f aca="false">IFERROR(SUMPRODUCT(MAX((Trackmania!$M$11:$M$42=$B21)*Trackmania!$G$11:$G$42)),0)</f>
        <v>0</v>
      </c>
      <c r="I21" s="130" t="n">
        <f aca="false">IFERROR(SUMPRODUCT(MAX(('Dota 2'!$N$11:$N$34=$B21)*'Dota 2'!$H$11:$H$34)),0)</f>
        <v>0</v>
      </c>
      <c r="J21" s="130" t="n">
        <f aca="false">IFERROR(SUMPRODUCT(MAX(('Tekken 8'!$N$11:$N$42=$B21)*'Tekken 8'!$H$11:$H$42)),0)</f>
        <v>0</v>
      </c>
      <c r="K21" s="130" t="n">
        <f aca="false">IFERROR(SUMPRODUCT(MAX(('Street Fighter 6'!$O$11:$O$42=$B21)*'Street Fighter 6'!$I$11:$I$42)),0)</f>
        <v>0</v>
      </c>
      <c r="L21" s="130" t="n">
        <f aca="false">IFERROR(SUMPRODUCT(MAX(('Fatal Fury CotW'!$L$11:$L$42=$B21)*'Fatal Fury CotW'!$F$11:$F$42)),0)</f>
        <v>0</v>
      </c>
      <c r="M21" s="130" t="n">
        <f aca="false">IFERROR(SUMPRODUCT(MAX((TFT!$N$11:$N$26=$B21)*TFT!$H$11:$H$26)),0)</f>
        <v>0</v>
      </c>
      <c r="N21" s="130" t="n">
        <f aca="false">IFERROR(SUMPRODUCT(MAX(('Rainbow Six'!$P$11:$P$32=$B21)*'Rainbow Six'!$J$11:$J$32)),0)</f>
        <v>1000</v>
      </c>
      <c r="O21" s="130" t="n">
        <f aca="false">IFERROR(SUMPRODUCT(MAX((Warzone!$M$11:$M$42=$B21)*Warzone!$G$11:$G$42)),0)</f>
        <v>0</v>
      </c>
      <c r="P21" s="130" t="n">
        <f aca="false">IFERROR(SUMPRODUCT(MAX((Valorant!$N$11:$N$26=$B21)*Valorant!$H$11:$H$26)),0)</f>
        <v>0</v>
      </c>
      <c r="Q21" s="130" t="n">
        <f aca="false">IFERROR(SUMPRODUCT(MAX(('MLBB (MSC)'!$M$11:$M$35=$B21)*'MLBB (MSC)'!$G$11:$G$35)),0)</f>
        <v>0</v>
      </c>
      <c r="R21" s="130" t="n">
        <f aca="false">IFERROR(SUMPRODUCT(MAX(('Apex Legends'!$O$11:$O$50=$B21)*'Apex Legends'!$I$11:$I$50)),0)</f>
        <v>0</v>
      </c>
      <c r="S21" s="130" t="n">
        <f aca="false">IFERROR(SUMPRODUCT(MAX(('Honor of Kings'!$N$11:$N$30=$B21)*'Honor of Kings'!$H$11:$H$30)),0)</f>
        <v>0</v>
      </c>
      <c r="T21" s="130" t="n">
        <f aca="false">IFERROR(SUMPRODUCT(MAX((CrossFire!$L$11:$L$26=$B21)*CrossFire!$F$11:$F$26)),0)</f>
        <v>0</v>
      </c>
      <c r="U21" s="130" t="n">
        <f aca="false">IFERROR(SUMPRODUCT(MAX(('Free Fire'!$M$11:$M$34=$B21)*'Free Fire'!$G$11:$G$34)),0)</f>
        <v>0</v>
      </c>
      <c r="V21" s="130" t="n">
        <f aca="false">IFERROR(SUMPRODUCT(MAX(('EA FC 26'!$N$11:$N$46=$B21)*'EA FC 26'!$H$11:$H$46)),0)</f>
        <v>0</v>
      </c>
      <c r="W21" s="130" t="n">
        <f aca="false">IFERROR(SUMPRODUCT(MAX(('Black Ops 7'!$O$11:$O$26=$B21)*'Black Ops 7'!$J$11:$J$26)),0)</f>
        <v>200</v>
      </c>
      <c r="X21" s="130" t="n">
        <f aca="false">IFERROR(SUMPRODUCT(MAX(('Rocket League'!$P$11:$P$26=$B21)*'Rocket League'!$J$11:$J$26)),0)</f>
        <v>0</v>
      </c>
      <c r="Y21" s="130" t="n">
        <f aca="false">IFERROR(SUMPRODUCT(MAX(('Overwatch 2'!$L$11:$L$26=$B21)*'Overwatch 2'!$F$11:$F$26)),0)</f>
        <v>0</v>
      </c>
      <c r="Z21" s="130" t="n">
        <f aca="false">IFERROR(SUMPRODUCT(MAX((PUBG!$L$11:$L$34=$B21)*PUBG!$F$11:$F$34)),0)</f>
        <v>0</v>
      </c>
      <c r="AA21" s="130" t="n">
        <f aca="false">IFERROR(SUMPRODUCT(MAX(('MLBB Women'!$L$11:$L$26=$B21)*'MLBB Women'!$F$11:$F$26)),0)</f>
        <v>0</v>
      </c>
      <c r="AB21" s="130" t="n">
        <f aca="false">SUM(C21:AA21)</f>
        <v>1200</v>
      </c>
      <c r="AC21" s="130" t="n">
        <v>1200</v>
      </c>
      <c r="AD21" s="200" t="n">
        <f aca="false">AB21-AC21</f>
        <v>0</v>
      </c>
      <c r="AE21" s="82" t="str">
        <f aca="false">IF(AB21=0,"not started",IF(AD21=0,"reconciled",IF(AD21&gt;0,"CHECK NAMES","in progress")))</f>
        <v>reconciled</v>
      </c>
    </row>
    <row r="22" customFormat="false" ht="15" hidden="false" customHeight="true" outlineLevel="0" collapsed="false">
      <c r="B22" s="66" t="s">
        <v>215</v>
      </c>
      <c r="C22" s="130" t="n">
        <f aca="false">IFERROR(SUMIF(CS2!$L$11:$L$42,$B22,CS2!$F$11:$F$42),0)</f>
        <v>200</v>
      </c>
      <c r="D22" s="130" t="n">
        <f aca="false">IFERROR(SUMPRODUCT(MAX((Chess!$L$11:$L$32=$B22)*Chess!$F$11:$F$32)),0)</f>
        <v>0</v>
      </c>
      <c r="E22" s="130" t="n">
        <f aca="false">IFERROR(SUMPRODUCT(MAX((LoL!$L$11:$L$26=$B22)*LoL!$F$11:$F$26)),0)</f>
        <v>0</v>
      </c>
      <c r="F22" s="130" t="n">
        <f aca="false">IFERROR(SUMPRODUCT(MAX(('PUBG Mobile'!$L$11:$L$42=$B22)*'PUBG Mobile'!$F$11:$F$42)),0)</f>
        <v>0</v>
      </c>
      <c r="G22" s="130" t="n">
        <f aca="false">IFERROR(SUMPRODUCT(MAX(('Fortnite Reload'!$L$11:$L$50=$B22)*'Fortnite Reload'!$F$11:$F$50)),0)</f>
        <v>0</v>
      </c>
      <c r="H22" s="130" t="n">
        <f aca="false">IFERROR(SUMPRODUCT(MAX((Trackmania!$M$11:$M$42=$B22)*Trackmania!$G$11:$G$42)),0)</f>
        <v>0</v>
      </c>
      <c r="I22" s="130" t="n">
        <f aca="false">IFERROR(SUMPRODUCT(MAX(('Dota 2'!$N$11:$N$34=$B22)*'Dota 2'!$H$11:$H$34)),0)</f>
        <v>0</v>
      </c>
      <c r="J22" s="130" t="n">
        <f aca="false">IFERROR(SUMPRODUCT(MAX(('Tekken 8'!$N$11:$N$42=$B22)*'Tekken 8'!$H$11:$H$42)),0)</f>
        <v>0</v>
      </c>
      <c r="K22" s="130" t="n">
        <f aca="false">IFERROR(SUMPRODUCT(MAX(('Street Fighter 6'!$O$11:$O$42=$B22)*'Street Fighter 6'!$I$11:$I$42)),0)</f>
        <v>0</v>
      </c>
      <c r="L22" s="130" t="n">
        <f aca="false">IFERROR(SUMPRODUCT(MAX(('Fatal Fury CotW'!$L$11:$L$42=$B22)*'Fatal Fury CotW'!$F$11:$F$42)),0)</f>
        <v>0</v>
      </c>
      <c r="M22" s="130" t="n">
        <f aca="false">IFERROR(SUMPRODUCT(MAX((TFT!$N$11:$N$26=$B22)*TFT!$H$11:$H$26)),0)</f>
        <v>0</v>
      </c>
      <c r="N22" s="130" t="n">
        <f aca="false">IFERROR(SUMPRODUCT(MAX(('Rainbow Six'!$P$11:$P$32=$B22)*'Rainbow Six'!$J$11:$J$32)),0)</f>
        <v>0</v>
      </c>
      <c r="O22" s="130" t="n">
        <f aca="false">IFERROR(SUMPRODUCT(MAX((Warzone!$M$11:$M$42=$B22)*Warzone!$G$11:$G$42)),0)</f>
        <v>1000</v>
      </c>
      <c r="P22" s="130" t="n">
        <f aca="false">IFERROR(SUMPRODUCT(MAX((Valorant!$N$11:$N$26=$B22)*Valorant!$H$11:$H$26)),0)</f>
        <v>0</v>
      </c>
      <c r="Q22" s="130" t="n">
        <f aca="false">IFERROR(SUMPRODUCT(MAX(('MLBB (MSC)'!$M$11:$M$35=$B22)*'MLBB (MSC)'!$G$11:$G$35)),0)</f>
        <v>0</v>
      </c>
      <c r="R22" s="130" t="n">
        <f aca="false">IFERROR(SUMPRODUCT(MAX(('Apex Legends'!$O$11:$O$50=$B22)*'Apex Legends'!$I$11:$I$50)),0)</f>
        <v>0</v>
      </c>
      <c r="S22" s="130" t="n">
        <f aca="false">IFERROR(SUMPRODUCT(MAX(('Honor of Kings'!$N$11:$N$30=$B22)*'Honor of Kings'!$H$11:$H$30)),0)</f>
        <v>0</v>
      </c>
      <c r="T22" s="130" t="n">
        <f aca="false">IFERROR(SUMPRODUCT(MAX((CrossFire!$L$11:$L$26=$B22)*CrossFire!$F$11:$F$26)),0)</f>
        <v>0</v>
      </c>
      <c r="U22" s="130" t="n">
        <f aca="false">IFERROR(SUMPRODUCT(MAX(('Free Fire'!$M$11:$M$34=$B22)*'Free Fire'!$G$11:$G$34)),0)</f>
        <v>0</v>
      </c>
      <c r="V22" s="130" t="n">
        <f aca="false">IFERROR(SUMPRODUCT(MAX(('EA FC 26'!$N$11:$N$46=$B22)*'EA FC 26'!$H$11:$H$46)),0)</f>
        <v>0</v>
      </c>
      <c r="W22" s="130" t="n">
        <f aca="false">IFERROR(SUMPRODUCT(MAX(('Black Ops 7'!$O$11:$O$26=$B22)*'Black Ops 7'!$J$11:$J$26)),0)</f>
        <v>0</v>
      </c>
      <c r="X22" s="130" t="n">
        <f aca="false">IFERROR(SUMPRODUCT(MAX(('Rocket League'!$P$11:$P$26=$B22)*'Rocket League'!$J$11:$J$26)),0)</f>
        <v>0</v>
      </c>
      <c r="Y22" s="130" t="n">
        <f aca="false">IFERROR(SUMPRODUCT(MAX(('Overwatch 2'!$L$11:$L$26=$B22)*'Overwatch 2'!$F$11:$F$26)),0)</f>
        <v>0</v>
      </c>
      <c r="Z22" s="130" t="n">
        <f aca="false">IFERROR(SUMPRODUCT(MAX((PUBG!$L$11:$L$34=$B22)*PUBG!$F$11:$F$34)),0)</f>
        <v>0</v>
      </c>
      <c r="AA22" s="130" t="n">
        <f aca="false">IFERROR(SUMPRODUCT(MAX(('MLBB Women'!$L$11:$L$26=$B22)*'MLBB Women'!$F$11:$F$26)),0)</f>
        <v>0</v>
      </c>
      <c r="AB22" s="130" t="n">
        <f aca="false">SUM(C22:AA22)</f>
        <v>1200</v>
      </c>
      <c r="AC22" s="130" t="n">
        <v>1200</v>
      </c>
      <c r="AD22" s="200" t="n">
        <f aca="false">AB22-AC22</f>
        <v>0</v>
      </c>
      <c r="AE22" s="82" t="str">
        <f aca="false">IF(AB22=0,"not started",IF(AD22=0,"reconciled",IF(AD22&gt;0,"CHECK NAMES","in progress")))</f>
        <v>reconciled</v>
      </c>
    </row>
    <row r="23" customFormat="false" ht="15" hidden="false" customHeight="true" outlineLevel="0" collapsed="false">
      <c r="B23" s="66" t="s">
        <v>150</v>
      </c>
      <c r="C23" s="130" t="n">
        <f aca="false">IFERROR(SUMIF(CS2!$L$11:$L$42,$B23,CS2!$F$11:$F$42),0)</f>
        <v>0</v>
      </c>
      <c r="D23" s="130" t="n">
        <f aca="false">IFERROR(SUMPRODUCT(MAX((Chess!$L$11:$L$32=$B23)*Chess!$F$11:$F$32)),0)</f>
        <v>0</v>
      </c>
      <c r="E23" s="130" t="n">
        <f aca="false">IFERROR(SUMPRODUCT(MAX((LoL!$L$11:$L$26=$B23)*LoL!$F$11:$F$26)),0)</f>
        <v>0</v>
      </c>
      <c r="F23" s="130" t="n">
        <f aca="false">IFERROR(SUMPRODUCT(MAX(('PUBG Mobile'!$L$11:$L$42=$B23)*'PUBG Mobile'!$F$11:$F$42)),0)</f>
        <v>0</v>
      </c>
      <c r="G23" s="130" t="n">
        <f aca="false">IFERROR(SUMPRODUCT(MAX(('Fortnite Reload'!$L$11:$L$50=$B23)*'Fortnite Reload'!$F$11:$F$50)),0)</f>
        <v>0</v>
      </c>
      <c r="H23" s="130" t="n">
        <f aca="false">IFERROR(SUMPRODUCT(MAX((Trackmania!$M$11:$M$42=$B23)*Trackmania!$G$11:$G$42)),0)</f>
        <v>0</v>
      </c>
      <c r="I23" s="130" t="n">
        <f aca="false">IFERROR(SUMPRODUCT(MAX(('Dota 2'!$N$11:$N$34=$B23)*'Dota 2'!$H$11:$H$34)),0)</f>
        <v>0</v>
      </c>
      <c r="J23" s="130" t="n">
        <f aca="false">IFERROR(SUMPRODUCT(MAX(('Tekken 8'!$N$11:$N$42=$B23)*'Tekken 8'!$H$11:$H$42)),0)</f>
        <v>0</v>
      </c>
      <c r="K23" s="130" t="n">
        <f aca="false">IFERROR(SUMPRODUCT(MAX(('Street Fighter 6'!$O$11:$O$42=$B23)*'Street Fighter 6'!$I$11:$I$42)),0)</f>
        <v>200</v>
      </c>
      <c r="L23" s="130" t="n">
        <f aca="false">IFERROR(SUMPRODUCT(MAX(('Fatal Fury CotW'!$L$11:$L$42=$B23)*'Fatal Fury CotW'!$F$11:$F$42)),0)</f>
        <v>200</v>
      </c>
      <c r="M23" s="130" t="n">
        <f aca="false">IFERROR(SUMPRODUCT(MAX((TFT!$N$11:$N$26=$B23)*TFT!$H$11:$H$26)),0)</f>
        <v>200</v>
      </c>
      <c r="N23" s="130" t="n">
        <f aca="false">IFERROR(SUMPRODUCT(MAX(('Rainbow Six'!$P$11:$P$32=$B23)*'Rainbow Six'!$J$11:$J$32)),0)</f>
        <v>200</v>
      </c>
      <c r="O23" s="130" t="n">
        <f aca="false">IFERROR(SUMPRODUCT(MAX((Warzone!$M$11:$M$42=$B23)*Warzone!$G$11:$G$42)),0)</f>
        <v>0</v>
      </c>
      <c r="P23" s="130" t="n">
        <f aca="false">IFERROR(SUMPRODUCT(MAX((Valorant!$N$11:$N$26=$B23)*Valorant!$H$11:$H$26)),0)</f>
        <v>0</v>
      </c>
      <c r="Q23" s="130" t="n">
        <f aca="false">IFERROR(SUMPRODUCT(MAX(('MLBB (MSC)'!$M$11:$M$35=$B23)*'MLBB (MSC)'!$G$11:$G$35)),0)</f>
        <v>0</v>
      </c>
      <c r="R23" s="130" t="n">
        <f aca="false">IFERROR(SUMPRODUCT(MAX(('Apex Legends'!$O$11:$O$50=$B23)*'Apex Legends'!$I$11:$I$50)),0)</f>
        <v>0</v>
      </c>
      <c r="S23" s="130" t="n">
        <f aca="false">IFERROR(SUMPRODUCT(MAX(('Honor of Kings'!$N$11:$N$30=$B23)*'Honor of Kings'!$H$11:$H$30)),0)</f>
        <v>0</v>
      </c>
      <c r="T23" s="130" t="n">
        <f aca="false">IFERROR(SUMPRODUCT(MAX((CrossFire!$L$11:$L$26=$B23)*CrossFire!$F$11:$F$26)),0)</f>
        <v>0</v>
      </c>
      <c r="U23" s="130" t="n">
        <f aca="false">IFERROR(SUMPRODUCT(MAX(('Free Fire'!$M$11:$M$34=$B23)*'Free Fire'!$G$11:$G$34)),0)</f>
        <v>0</v>
      </c>
      <c r="V23" s="130" t="n">
        <f aca="false">IFERROR(SUMPRODUCT(MAX(('EA FC 26'!$N$11:$N$46=$B23)*'EA FC 26'!$H$11:$H$46)),0)</f>
        <v>0</v>
      </c>
      <c r="W23" s="130" t="n">
        <f aca="false">IFERROR(SUMPRODUCT(MAX(('Black Ops 7'!$O$11:$O$26=$B23)*'Black Ops 7'!$J$11:$J$26)),0)</f>
        <v>0</v>
      </c>
      <c r="X23" s="130" t="n">
        <f aca="false">IFERROR(SUMPRODUCT(MAX(('Rocket League'!$P$11:$P$26=$B23)*'Rocket League'!$J$11:$J$26)),0)</f>
        <v>0</v>
      </c>
      <c r="Y23" s="130" t="n">
        <f aca="false">IFERROR(SUMPRODUCT(MAX(('Overwatch 2'!$L$11:$L$26=$B23)*'Overwatch 2'!$F$11:$F$26)),0)</f>
        <v>300</v>
      </c>
      <c r="Z23" s="130" t="n">
        <f aca="false">IFERROR(SUMPRODUCT(MAX((PUBG!$L$11:$L$34=$B23)*PUBG!$F$11:$F$34)),0)</f>
        <v>0</v>
      </c>
      <c r="AA23" s="130" t="n">
        <f aca="false">IFERROR(SUMPRODUCT(MAX(('MLBB Women'!$L$11:$L$26=$B23)*'MLBB Women'!$F$11:$F$26)),0)</f>
        <v>0</v>
      </c>
      <c r="AB23" s="130" t="n">
        <f aca="false">SUM(C23:AA23)</f>
        <v>1100</v>
      </c>
      <c r="AC23" s="130" t="n">
        <v>1100</v>
      </c>
      <c r="AD23" s="200" t="n">
        <f aca="false">AB23-AC23</f>
        <v>0</v>
      </c>
      <c r="AE23" s="82" t="str">
        <f aca="false">IF(AB23=0,"not started",IF(AD23=0,"reconciled",IF(AD23&gt;0,"CHECK NAMES","in progress")))</f>
        <v>reconciled</v>
      </c>
    </row>
    <row r="24" customFormat="false" ht="15" hidden="false" customHeight="true" outlineLevel="0" collapsed="false">
      <c r="B24" s="66" t="s">
        <v>181</v>
      </c>
      <c r="C24" s="130" t="n">
        <f aca="false">IFERROR(SUMIF(CS2!$L$11:$L$42,$B24,CS2!$F$11:$F$42),0)</f>
        <v>300</v>
      </c>
      <c r="D24" s="130" t="n">
        <f aca="false">IFERROR(SUMPRODUCT(MAX((Chess!$L$11:$L$32=$B24)*Chess!$F$11:$F$32)),0)</f>
        <v>0</v>
      </c>
      <c r="E24" s="130" t="n">
        <f aca="false">IFERROR(SUMPRODUCT(MAX((LoL!$L$11:$L$26=$B24)*LoL!$F$11:$F$26)),0)</f>
        <v>0</v>
      </c>
      <c r="F24" s="130" t="n">
        <f aca="false">IFERROR(SUMPRODUCT(MAX(('PUBG Mobile'!$L$11:$L$42=$B24)*'PUBG Mobile'!$F$11:$F$42)),0)</f>
        <v>0</v>
      </c>
      <c r="G24" s="130" t="n">
        <f aca="false">IFERROR(SUMPRODUCT(MAX(('Fortnite Reload'!$L$11:$L$50=$B24)*'Fortnite Reload'!$F$11:$F$50)),0)</f>
        <v>0</v>
      </c>
      <c r="H24" s="130" t="n">
        <f aca="false">IFERROR(SUMPRODUCT(MAX((Trackmania!$M$11:$M$42=$B24)*Trackmania!$G$11:$G$42)),0)</f>
        <v>0</v>
      </c>
      <c r="I24" s="130" t="n">
        <f aca="false">IFERROR(SUMPRODUCT(MAX(('Dota 2'!$N$11:$N$34=$B24)*'Dota 2'!$H$11:$H$34)),0)</f>
        <v>0</v>
      </c>
      <c r="J24" s="130" t="n">
        <f aca="false">IFERROR(SUMPRODUCT(MAX(('Tekken 8'!$N$11:$N$42=$B24)*'Tekken 8'!$H$11:$H$42)),0)</f>
        <v>0</v>
      </c>
      <c r="K24" s="130" t="n">
        <f aca="false">IFERROR(SUMPRODUCT(MAX(('Street Fighter 6'!$O$11:$O$42=$B24)*'Street Fighter 6'!$I$11:$I$42)),0)</f>
        <v>0</v>
      </c>
      <c r="L24" s="130" t="n">
        <f aca="false">IFERROR(SUMPRODUCT(MAX(('Fatal Fury CotW'!$L$11:$L$42=$B24)*'Fatal Fury CotW'!$F$11:$F$42)),0)</f>
        <v>0</v>
      </c>
      <c r="M24" s="130" t="n">
        <f aca="false">IFERROR(SUMPRODUCT(MAX((TFT!$N$11:$N$26=$B24)*TFT!$H$11:$H$26)),0)</f>
        <v>0</v>
      </c>
      <c r="N24" s="130" t="n">
        <f aca="false">IFERROR(SUMPRODUCT(MAX(('Rainbow Six'!$P$11:$P$32=$B24)*'Rainbow Six'!$J$11:$J$32)),0)</f>
        <v>750</v>
      </c>
      <c r="O24" s="130" t="n">
        <f aca="false">IFERROR(SUMPRODUCT(MAX((Warzone!$M$11:$M$42=$B24)*Warzone!$G$11:$G$42)),0)</f>
        <v>0</v>
      </c>
      <c r="P24" s="130" t="n">
        <f aca="false">IFERROR(SUMPRODUCT(MAX((Valorant!$N$11:$N$26=$B24)*Valorant!$H$11:$H$26)),0)</f>
        <v>0</v>
      </c>
      <c r="Q24" s="130" t="n">
        <f aca="false">IFERROR(SUMPRODUCT(MAX(('MLBB (MSC)'!$M$11:$M$35=$B24)*'MLBB (MSC)'!$G$11:$G$35)),0)</f>
        <v>0</v>
      </c>
      <c r="R24" s="130" t="n">
        <f aca="false">IFERROR(SUMPRODUCT(MAX(('Apex Legends'!$O$11:$O$50=$B24)*'Apex Legends'!$I$11:$I$50)),0)</f>
        <v>0</v>
      </c>
      <c r="S24" s="130" t="n">
        <f aca="false">IFERROR(SUMPRODUCT(MAX(('Honor of Kings'!$N$11:$N$30=$B24)*'Honor of Kings'!$H$11:$H$30)),0)</f>
        <v>0</v>
      </c>
      <c r="T24" s="130" t="n">
        <f aca="false">IFERROR(SUMPRODUCT(MAX((CrossFire!$L$11:$L$26=$B24)*CrossFire!$F$11:$F$26)),0)</f>
        <v>0</v>
      </c>
      <c r="U24" s="130" t="n">
        <f aca="false">IFERROR(SUMPRODUCT(MAX(('Free Fire'!$M$11:$M$34=$B24)*'Free Fire'!$G$11:$G$34)),0)</f>
        <v>0</v>
      </c>
      <c r="V24" s="130" t="n">
        <f aca="false">IFERROR(SUMPRODUCT(MAX(('EA FC 26'!$N$11:$N$46=$B24)*'EA FC 26'!$H$11:$H$46)),0)</f>
        <v>0</v>
      </c>
      <c r="W24" s="130" t="n">
        <f aca="false">IFERROR(SUMPRODUCT(MAX(('Black Ops 7'!$O$11:$O$26=$B24)*'Black Ops 7'!$J$11:$J$26)),0)</f>
        <v>0</v>
      </c>
      <c r="X24" s="130" t="n">
        <f aca="false">IFERROR(SUMPRODUCT(MAX(('Rocket League'!$P$11:$P$26=$B24)*'Rocket League'!$J$11:$J$26)),0)</f>
        <v>0</v>
      </c>
      <c r="Y24" s="130" t="n">
        <f aca="false">IFERROR(SUMPRODUCT(MAX(('Overwatch 2'!$L$11:$L$26=$B24)*'Overwatch 2'!$F$11:$F$26)),0)</f>
        <v>0</v>
      </c>
      <c r="Z24" s="130" t="n">
        <f aca="false">IFERROR(SUMPRODUCT(MAX((PUBG!$L$11:$L$34=$B24)*PUBG!$F$11:$F$34)),0)</f>
        <v>0</v>
      </c>
      <c r="AA24" s="130" t="n">
        <f aca="false">IFERROR(SUMPRODUCT(MAX(('MLBB Women'!$L$11:$L$26=$B24)*'MLBB Women'!$F$11:$F$26)),0)</f>
        <v>0</v>
      </c>
      <c r="AB24" s="130" t="n">
        <f aca="false">SUM(C24:AA24)</f>
        <v>1050</v>
      </c>
      <c r="AC24" s="130" t="n">
        <v>1050</v>
      </c>
      <c r="AD24" s="200" t="n">
        <f aca="false">AB24-AC24</f>
        <v>0</v>
      </c>
      <c r="AE24" s="82" t="str">
        <f aca="false">IF(AB24=0,"not started",IF(AD24=0,"reconciled",IF(AD24&gt;0,"CHECK NAMES","in progress")))</f>
        <v>reconciled</v>
      </c>
    </row>
    <row r="25" customFormat="false" ht="15" hidden="false" customHeight="true" outlineLevel="0" collapsed="false">
      <c r="B25" s="66" t="s">
        <v>326</v>
      </c>
      <c r="C25" s="130" t="n">
        <f aca="false">IFERROR(SUMIF(CS2!$L$11:$L$42,$B25,CS2!$F$11:$F$42),0)</f>
        <v>0</v>
      </c>
      <c r="D25" s="130" t="n">
        <f aca="false">IFERROR(SUMPRODUCT(MAX((Chess!$L$11:$L$32=$B25)*Chess!$F$11:$F$32)),0)</f>
        <v>0</v>
      </c>
      <c r="E25" s="130" t="n">
        <f aca="false">IFERROR(SUMPRODUCT(MAX((LoL!$L$11:$L$26=$B25)*LoL!$F$11:$F$26)),0)</f>
        <v>750</v>
      </c>
      <c r="F25" s="130" t="n">
        <f aca="false">IFERROR(SUMPRODUCT(MAX(('PUBG Mobile'!$L$11:$L$42=$B25)*'PUBG Mobile'!$F$11:$F$42)),0)</f>
        <v>0</v>
      </c>
      <c r="G25" s="130" t="n">
        <f aca="false">IFERROR(SUMPRODUCT(MAX(('Fortnite Reload'!$L$11:$L$50=$B25)*'Fortnite Reload'!$F$11:$F$50)),0)</f>
        <v>0</v>
      </c>
      <c r="H25" s="130" t="n">
        <f aca="false">IFERROR(SUMPRODUCT(MAX((Trackmania!$M$11:$M$42=$B25)*Trackmania!$G$11:$G$42)),0)</f>
        <v>0</v>
      </c>
      <c r="I25" s="130" t="n">
        <f aca="false">IFERROR(SUMPRODUCT(MAX(('Dota 2'!$N$11:$N$34=$B25)*'Dota 2'!$H$11:$H$34)),0)</f>
        <v>0</v>
      </c>
      <c r="J25" s="130" t="n">
        <f aca="false">IFERROR(SUMPRODUCT(MAX(('Tekken 8'!$N$11:$N$42=$B25)*'Tekken 8'!$H$11:$H$42)),0)</f>
        <v>0</v>
      </c>
      <c r="K25" s="130" t="n">
        <f aca="false">IFERROR(SUMPRODUCT(MAX(('Street Fighter 6'!$O$11:$O$42=$B25)*'Street Fighter 6'!$I$11:$I$42)),0)</f>
        <v>0</v>
      </c>
      <c r="L25" s="130" t="n">
        <f aca="false">IFERROR(SUMPRODUCT(MAX(('Fatal Fury CotW'!$L$11:$L$42=$B25)*'Fatal Fury CotW'!$F$11:$F$42)),0)</f>
        <v>0</v>
      </c>
      <c r="M25" s="130" t="n">
        <f aca="false">IFERROR(SUMPRODUCT(MAX((TFT!$N$11:$N$26=$B25)*TFT!$H$11:$H$26)),0)</f>
        <v>0</v>
      </c>
      <c r="N25" s="130" t="n">
        <f aca="false">IFERROR(SUMPRODUCT(MAX(('Rainbow Six'!$P$11:$P$32=$B25)*'Rainbow Six'!$J$11:$J$32)),0)</f>
        <v>0</v>
      </c>
      <c r="O25" s="130" t="n">
        <f aca="false">IFERROR(SUMPRODUCT(MAX((Warzone!$M$11:$M$42=$B25)*Warzone!$G$11:$G$42)),0)</f>
        <v>0</v>
      </c>
      <c r="P25" s="130" t="n">
        <f aca="false">IFERROR(SUMPRODUCT(MAX((Valorant!$N$11:$N$26=$B25)*Valorant!$H$11:$H$26)),0)</f>
        <v>0</v>
      </c>
      <c r="Q25" s="130" t="n">
        <f aca="false">IFERROR(SUMPRODUCT(MAX(('MLBB (MSC)'!$M$11:$M$35=$B25)*'MLBB (MSC)'!$G$11:$G$35)),0)</f>
        <v>0</v>
      </c>
      <c r="R25" s="130" t="n">
        <f aca="false">IFERROR(SUMPRODUCT(MAX(('Apex Legends'!$O$11:$O$50=$B25)*'Apex Legends'!$I$11:$I$50)),0)</f>
        <v>0</v>
      </c>
      <c r="S25" s="130" t="n">
        <f aca="false">IFERROR(SUMPRODUCT(MAX(('Honor of Kings'!$N$11:$N$30=$B25)*'Honor of Kings'!$H$11:$H$30)),0)</f>
        <v>0</v>
      </c>
      <c r="T25" s="130" t="n">
        <f aca="false">IFERROR(SUMPRODUCT(MAX((CrossFire!$L$11:$L$26=$B25)*CrossFire!$F$11:$F$26)),0)</f>
        <v>0</v>
      </c>
      <c r="U25" s="130" t="n">
        <f aca="false">IFERROR(SUMPRODUCT(MAX(('Free Fire'!$M$11:$M$34=$B25)*'Free Fire'!$G$11:$G$34)),0)</f>
        <v>0</v>
      </c>
      <c r="V25" s="130" t="n">
        <f aca="false">IFERROR(SUMPRODUCT(MAX(('EA FC 26'!$N$11:$N$46=$B25)*'EA FC 26'!$H$11:$H$46)),0)</f>
        <v>0</v>
      </c>
      <c r="W25" s="130" t="n">
        <f aca="false">IFERROR(SUMPRODUCT(MAX(('Black Ops 7'!$O$11:$O$26=$B25)*'Black Ops 7'!$J$11:$J$26)),0)</f>
        <v>0</v>
      </c>
      <c r="X25" s="130" t="n">
        <f aca="false">IFERROR(SUMPRODUCT(MAX(('Rocket League'!$P$11:$P$26=$B25)*'Rocket League'!$J$11:$J$26)),0)</f>
        <v>300</v>
      </c>
      <c r="Y25" s="130" t="n">
        <f aca="false">IFERROR(SUMPRODUCT(MAX(('Overwatch 2'!$L$11:$L$26=$B25)*'Overwatch 2'!$F$11:$F$26)),0)</f>
        <v>0</v>
      </c>
      <c r="Z25" s="130" t="n">
        <f aca="false">IFERROR(SUMPRODUCT(MAX((PUBG!$L$11:$L$34=$B25)*PUBG!$F$11:$F$34)),0)</f>
        <v>0</v>
      </c>
      <c r="AA25" s="130" t="n">
        <f aca="false">IFERROR(SUMPRODUCT(MAX(('MLBB Women'!$L$11:$L$26=$B25)*'MLBB Women'!$F$11:$F$26)),0)</f>
        <v>0</v>
      </c>
      <c r="AB25" s="130" t="n">
        <f aca="false">SUM(C25:AA25)</f>
        <v>1050</v>
      </c>
      <c r="AC25" s="130" t="n">
        <v>1050</v>
      </c>
      <c r="AD25" s="200" t="n">
        <f aca="false">AB25-AC25</f>
        <v>0</v>
      </c>
      <c r="AE25" s="82" t="str">
        <f aca="false">IF(AB25=0,"not started",IF(AD25=0,"reconciled",IF(AD25&gt;0,"CHECK NAMES","in progress")))</f>
        <v>reconciled</v>
      </c>
    </row>
    <row r="26" customFormat="false" ht="15" hidden="false" customHeight="true" outlineLevel="0" collapsed="false">
      <c r="B26" s="66" t="s">
        <v>195</v>
      </c>
      <c r="C26" s="130" t="n">
        <f aca="false">IFERROR(SUMIF(CS2!$L$11:$L$42,$B26,CS2!$F$11:$F$42),0)</f>
        <v>0</v>
      </c>
      <c r="D26" s="130" t="n">
        <f aca="false">IFERROR(SUMPRODUCT(MAX((Chess!$L$11:$L$32=$B26)*Chess!$F$11:$F$32)),0)</f>
        <v>0</v>
      </c>
      <c r="E26" s="130" t="n">
        <f aca="false">IFERROR(SUMPRODUCT(MAX((LoL!$L$11:$L$26=$B26)*LoL!$F$11:$F$26)),0)</f>
        <v>0</v>
      </c>
      <c r="F26" s="130" t="n">
        <f aca="false">IFERROR(SUMPRODUCT(MAX(('PUBG Mobile'!$L$11:$L$42=$B26)*'PUBG Mobile'!$F$11:$F$42)),0)</f>
        <v>0</v>
      </c>
      <c r="G26" s="130" t="n">
        <f aca="false">IFERROR(SUMPRODUCT(MAX(('Fortnite Reload'!$L$11:$L$50=$B26)*'Fortnite Reload'!$F$11:$F$50)),0)</f>
        <v>0</v>
      </c>
      <c r="H26" s="130" t="n">
        <f aca="false">IFERROR(SUMPRODUCT(MAX((Trackmania!$M$11:$M$42=$B26)*Trackmania!$G$11:$G$42)),0)</f>
        <v>0</v>
      </c>
      <c r="I26" s="130" t="n">
        <f aca="false">IFERROR(SUMPRODUCT(MAX(('Dota 2'!$N$11:$N$34=$B26)*'Dota 2'!$H$11:$H$34)),0)</f>
        <v>0</v>
      </c>
      <c r="J26" s="130" t="n">
        <f aca="false">IFERROR(SUMPRODUCT(MAX(('Tekken 8'!$N$11:$N$42=$B26)*'Tekken 8'!$H$11:$H$42)),0)</f>
        <v>200</v>
      </c>
      <c r="K26" s="130" t="n">
        <f aca="false">IFERROR(SUMPRODUCT(MAX(('Street Fighter 6'!$O$11:$O$42=$B26)*'Street Fighter 6'!$I$11:$I$42)),0)</f>
        <v>500</v>
      </c>
      <c r="L26" s="130" t="n">
        <f aca="false">IFERROR(SUMPRODUCT(MAX(('Fatal Fury CotW'!$L$11:$L$42=$B26)*'Fatal Fury CotW'!$F$11:$F$42)),0)</f>
        <v>300</v>
      </c>
      <c r="M26" s="130" t="n">
        <f aca="false">IFERROR(SUMPRODUCT(MAX((TFT!$N$11:$N$26=$B26)*TFT!$H$11:$H$26)),0)</f>
        <v>0</v>
      </c>
      <c r="N26" s="130" t="n">
        <f aca="false">IFERROR(SUMPRODUCT(MAX(('Rainbow Six'!$P$11:$P$32=$B26)*'Rainbow Six'!$J$11:$J$32)),0)</f>
        <v>0</v>
      </c>
      <c r="O26" s="130" t="n">
        <f aca="false">IFERROR(SUMPRODUCT(MAX((Warzone!$M$11:$M$42=$B26)*Warzone!$G$11:$G$42)),0)</f>
        <v>0</v>
      </c>
      <c r="P26" s="130" t="n">
        <f aca="false">IFERROR(SUMPRODUCT(MAX((Valorant!$N$11:$N$26=$B26)*Valorant!$H$11:$H$26)),0)</f>
        <v>0</v>
      </c>
      <c r="Q26" s="130" t="n">
        <f aca="false">IFERROR(SUMPRODUCT(MAX(('MLBB (MSC)'!$M$11:$M$35=$B26)*'MLBB (MSC)'!$G$11:$G$35)),0)</f>
        <v>0</v>
      </c>
      <c r="R26" s="130" t="n">
        <f aca="false">IFERROR(SUMPRODUCT(MAX(('Apex Legends'!$O$11:$O$50=$B26)*'Apex Legends'!$I$11:$I$50)),0)</f>
        <v>0</v>
      </c>
      <c r="S26" s="130" t="n">
        <f aca="false">IFERROR(SUMPRODUCT(MAX(('Honor of Kings'!$N$11:$N$30=$B26)*'Honor of Kings'!$H$11:$H$30)),0)</f>
        <v>0</v>
      </c>
      <c r="T26" s="130" t="n">
        <f aca="false">IFERROR(SUMPRODUCT(MAX((CrossFire!$L$11:$L$26=$B26)*CrossFire!$F$11:$F$26)),0)</f>
        <v>0</v>
      </c>
      <c r="U26" s="130" t="n">
        <f aca="false">IFERROR(SUMPRODUCT(MAX(('Free Fire'!$M$11:$M$34=$B26)*'Free Fire'!$G$11:$G$34)),0)</f>
        <v>0</v>
      </c>
      <c r="V26" s="130" t="n">
        <f aca="false">IFERROR(SUMPRODUCT(MAX(('EA FC 26'!$N$11:$N$46=$B26)*'EA FC 26'!$H$11:$H$46)),0)</f>
        <v>0</v>
      </c>
      <c r="W26" s="130" t="n">
        <f aca="false">IFERROR(SUMPRODUCT(MAX(('Black Ops 7'!$O$11:$O$26=$B26)*'Black Ops 7'!$J$11:$J$26)),0)</f>
        <v>0</v>
      </c>
      <c r="X26" s="130" t="n">
        <f aca="false">IFERROR(SUMPRODUCT(MAX(('Rocket League'!$P$11:$P$26=$B26)*'Rocket League'!$J$11:$J$26)),0)</f>
        <v>0</v>
      </c>
      <c r="Y26" s="130" t="n">
        <f aca="false">IFERROR(SUMPRODUCT(MAX(('Overwatch 2'!$L$11:$L$26=$B26)*'Overwatch 2'!$F$11:$F$26)),0)</f>
        <v>0</v>
      </c>
      <c r="Z26" s="130" t="n">
        <f aca="false">IFERROR(SUMPRODUCT(MAX((PUBG!$L$11:$L$34=$B26)*PUBG!$F$11:$F$34)),0)</f>
        <v>0</v>
      </c>
      <c r="AA26" s="130" t="n">
        <f aca="false">IFERROR(SUMPRODUCT(MAX(('MLBB Women'!$L$11:$L$26=$B26)*'MLBB Women'!$F$11:$F$26)),0)</f>
        <v>0</v>
      </c>
      <c r="AB26" s="130" t="n">
        <f aca="false">SUM(C26:AA26)</f>
        <v>1000</v>
      </c>
      <c r="AC26" s="130" t="n">
        <v>1000</v>
      </c>
      <c r="AD26" s="200" t="n">
        <f aca="false">AB26-AC26</f>
        <v>0</v>
      </c>
      <c r="AE26" s="82" t="str">
        <f aca="false">IF(AB26=0,"not started",IF(AD26=0,"reconciled",IF(AD26&gt;0,"CHECK NAMES","in progress")))</f>
        <v>reconciled</v>
      </c>
    </row>
    <row r="27" customFormat="false" ht="15" hidden="false" customHeight="true" outlineLevel="0" collapsed="false">
      <c r="B27" s="66" t="s">
        <v>197</v>
      </c>
      <c r="C27" s="130" t="n">
        <f aca="false">IFERROR(SUMIF(CS2!$L$11:$L$42,$B27,CS2!$F$11:$F$42),0)</f>
        <v>0</v>
      </c>
      <c r="D27" s="130" t="n">
        <f aca="false">IFERROR(SUMPRODUCT(MAX((Chess!$L$11:$L$32=$B27)*Chess!$F$11:$F$32)),0)</f>
        <v>0</v>
      </c>
      <c r="E27" s="130" t="n">
        <f aca="false">IFERROR(SUMPRODUCT(MAX((LoL!$L$11:$L$26=$B27)*LoL!$F$11:$F$26)),0)</f>
        <v>0</v>
      </c>
      <c r="F27" s="130" t="n">
        <f aca="false">IFERROR(SUMPRODUCT(MAX(('PUBG Mobile'!$L$11:$L$42=$B27)*'PUBG Mobile'!$F$11:$F$42)),0)</f>
        <v>0</v>
      </c>
      <c r="G27" s="130" t="n">
        <f aca="false">IFERROR(SUMPRODUCT(MAX(('Fortnite Reload'!$L$11:$L$50=$B27)*'Fortnite Reload'!$F$11:$F$50)),0)</f>
        <v>0</v>
      </c>
      <c r="H27" s="130" t="n">
        <f aca="false">IFERROR(SUMPRODUCT(MAX((Trackmania!$M$11:$M$42=$B27)*Trackmania!$G$11:$G$42)),0)</f>
        <v>0</v>
      </c>
      <c r="I27" s="130" t="n">
        <f aca="false">IFERROR(SUMPRODUCT(MAX(('Dota 2'!$N$11:$N$34=$B27)*'Dota 2'!$H$11:$H$34)),0)</f>
        <v>0</v>
      </c>
      <c r="J27" s="130" t="n">
        <f aca="false">IFERROR(SUMPRODUCT(MAX(('Tekken 8'!$N$11:$N$42=$B27)*'Tekken 8'!$H$11:$H$42)),0)</f>
        <v>0</v>
      </c>
      <c r="K27" s="130" t="n">
        <f aca="false">IFERROR(SUMPRODUCT(MAX(('Street Fighter 6'!$O$11:$O$42=$B27)*'Street Fighter 6'!$I$11:$I$42)),0)</f>
        <v>0</v>
      </c>
      <c r="L27" s="130" t="n">
        <f aca="false">IFERROR(SUMPRODUCT(MAX(('Fatal Fury CotW'!$L$11:$L$42=$B27)*'Fatal Fury CotW'!$F$11:$F$42)),0)</f>
        <v>0</v>
      </c>
      <c r="M27" s="130" t="n">
        <f aca="false">IFERROR(SUMPRODUCT(MAX((TFT!$N$11:$N$26=$B27)*TFT!$H$11:$H$26)),0)</f>
        <v>0</v>
      </c>
      <c r="N27" s="130" t="n">
        <f aca="false">IFERROR(SUMPRODUCT(MAX(('Rainbow Six'!$P$11:$P$32=$B27)*'Rainbow Six'!$J$11:$J$32)),0)</f>
        <v>0</v>
      </c>
      <c r="O27" s="130" t="n">
        <f aca="false">IFERROR(SUMPRODUCT(MAX((Warzone!$M$11:$M$42=$B27)*Warzone!$G$11:$G$42)),0)</f>
        <v>0</v>
      </c>
      <c r="P27" s="130" t="n">
        <f aca="false">IFERROR(SUMPRODUCT(MAX((Valorant!$N$11:$N$26=$B27)*Valorant!$H$11:$H$26)),0)</f>
        <v>200</v>
      </c>
      <c r="Q27" s="130" t="n">
        <f aca="false">IFERROR(SUMPRODUCT(MAX(('MLBB (MSC)'!$M$11:$M$35=$B27)*'MLBB (MSC)'!$G$11:$G$35)),0)</f>
        <v>0</v>
      </c>
      <c r="R27" s="130" t="n">
        <f aca="false">IFERROR(SUMPRODUCT(MAX(('Apex Legends'!$O$11:$O$50=$B27)*'Apex Legends'!$I$11:$I$50)),0)</f>
        <v>0</v>
      </c>
      <c r="S27" s="130" t="n">
        <f aca="false">IFERROR(SUMPRODUCT(MAX(('Honor of Kings'!$N$11:$N$30=$B27)*'Honor of Kings'!$H$11:$H$30)),0)</f>
        <v>0</v>
      </c>
      <c r="T27" s="130" t="n">
        <f aca="false">IFERROR(SUMPRODUCT(MAX((CrossFire!$L$11:$L$26=$B27)*CrossFire!$F$11:$F$26)),0)</f>
        <v>0</v>
      </c>
      <c r="U27" s="130" t="n">
        <f aca="false">IFERROR(SUMPRODUCT(MAX(('Free Fire'!$M$11:$M$34=$B27)*'Free Fire'!$G$11:$G$34)),0)</f>
        <v>0</v>
      </c>
      <c r="V27" s="130" t="n">
        <f aca="false">IFERROR(SUMPRODUCT(MAX(('EA FC 26'!$N$11:$N$46=$B27)*'EA FC 26'!$H$11:$H$46)),0)</f>
        <v>0</v>
      </c>
      <c r="W27" s="130" t="n">
        <f aca="false">IFERROR(SUMPRODUCT(MAX(('Black Ops 7'!$O$11:$O$26=$B27)*'Black Ops 7'!$J$11:$J$26)),0)</f>
        <v>750</v>
      </c>
      <c r="X27" s="130" t="n">
        <f aca="false">IFERROR(SUMPRODUCT(MAX(('Rocket League'!$P$11:$P$26=$B27)*'Rocket League'!$J$11:$J$26)),0)</f>
        <v>0</v>
      </c>
      <c r="Y27" s="130" t="n">
        <f aca="false">IFERROR(SUMPRODUCT(MAX(('Overwatch 2'!$L$11:$L$26=$B27)*'Overwatch 2'!$F$11:$F$26)),0)</f>
        <v>0</v>
      </c>
      <c r="Z27" s="130" t="n">
        <f aca="false">IFERROR(SUMPRODUCT(MAX((PUBG!$L$11:$L$34=$B27)*PUBG!$F$11:$F$34)),0)</f>
        <v>0</v>
      </c>
      <c r="AA27" s="130" t="n">
        <f aca="false">IFERROR(SUMPRODUCT(MAX(('MLBB Women'!$L$11:$L$26=$B27)*'MLBB Women'!$F$11:$F$26)),0)</f>
        <v>0</v>
      </c>
      <c r="AB27" s="130" t="n">
        <f aca="false">SUM(C27:AA27)</f>
        <v>950</v>
      </c>
      <c r="AC27" s="130" t="n">
        <v>950</v>
      </c>
      <c r="AD27" s="200" t="n">
        <f aca="false">AB27-AC27</f>
        <v>0</v>
      </c>
      <c r="AE27" s="82" t="str">
        <f aca="false">IF(AB27=0,"not started",IF(AD27=0,"reconciled",IF(AD27&gt;0,"CHECK NAMES","in progress")))</f>
        <v>reconciled</v>
      </c>
    </row>
    <row r="28" customFormat="false" ht="15" hidden="false" customHeight="true" outlineLevel="0" collapsed="false">
      <c r="B28" s="66" t="s">
        <v>210</v>
      </c>
      <c r="C28" s="130" t="n">
        <f aca="false">IFERROR(SUMIF(CS2!$L$11:$L$42,$B28,CS2!$F$11:$F$42),0)</f>
        <v>0</v>
      </c>
      <c r="D28" s="130" t="n">
        <f aca="false">IFERROR(SUMPRODUCT(MAX((Chess!$L$11:$L$32=$B28)*Chess!$F$11:$F$32)),0)</f>
        <v>0</v>
      </c>
      <c r="E28" s="130" t="n">
        <f aca="false">IFERROR(SUMPRODUCT(MAX((LoL!$L$11:$L$26=$B28)*LoL!$F$11:$F$26)),0)</f>
        <v>0</v>
      </c>
      <c r="F28" s="130" t="n">
        <f aca="false">IFERROR(SUMPRODUCT(MAX(('PUBG Mobile'!$L$11:$L$42=$B28)*'PUBG Mobile'!$F$11:$F$42)),0)</f>
        <v>0</v>
      </c>
      <c r="G28" s="130" t="n">
        <f aca="false">IFERROR(SUMPRODUCT(MAX(('Fortnite Reload'!$L$11:$L$50=$B28)*'Fortnite Reload'!$F$11:$F$50)),0)</f>
        <v>0</v>
      </c>
      <c r="H28" s="130" t="n">
        <f aca="false">IFERROR(SUMPRODUCT(MAX((Trackmania!$M$11:$M$42=$B28)*Trackmania!$G$11:$G$42)),0)</f>
        <v>0</v>
      </c>
      <c r="I28" s="130" t="n">
        <f aca="false">IFERROR(SUMPRODUCT(MAX(('Dota 2'!$N$11:$N$34=$B28)*'Dota 2'!$H$11:$H$34)),0)</f>
        <v>0</v>
      </c>
      <c r="J28" s="130" t="n">
        <f aca="false">IFERROR(SUMPRODUCT(MAX(('Tekken 8'!$N$11:$N$42=$B28)*'Tekken 8'!$H$11:$H$42)),0)</f>
        <v>750</v>
      </c>
      <c r="K28" s="130" t="n">
        <f aca="false">IFERROR(SUMPRODUCT(MAX(('Street Fighter 6'!$O$11:$O$42=$B28)*'Street Fighter 6'!$I$11:$I$42)),0)</f>
        <v>200</v>
      </c>
      <c r="L28" s="130" t="n">
        <f aca="false">IFERROR(SUMPRODUCT(MAX(('Fatal Fury CotW'!$L$11:$L$42=$B28)*'Fatal Fury CotW'!$F$11:$F$42)),0)</f>
        <v>0</v>
      </c>
      <c r="M28" s="130" t="n">
        <f aca="false">IFERROR(SUMPRODUCT(MAX((TFT!$N$11:$N$26=$B28)*TFT!$H$11:$H$26)),0)</f>
        <v>0</v>
      </c>
      <c r="N28" s="130" t="n">
        <f aca="false">IFERROR(SUMPRODUCT(MAX(('Rainbow Six'!$P$11:$P$32=$B28)*'Rainbow Six'!$J$11:$J$32)),0)</f>
        <v>0</v>
      </c>
      <c r="O28" s="130" t="n">
        <f aca="false">IFERROR(SUMPRODUCT(MAX((Warzone!$M$11:$M$42=$B28)*Warzone!$G$11:$G$42)),0)</f>
        <v>0</v>
      </c>
      <c r="P28" s="130" t="n">
        <f aca="false">IFERROR(SUMPRODUCT(MAX((Valorant!$N$11:$N$26=$B28)*Valorant!$H$11:$H$26)),0)</f>
        <v>0</v>
      </c>
      <c r="Q28" s="130" t="n">
        <f aca="false">IFERROR(SUMPRODUCT(MAX(('MLBB (MSC)'!$M$11:$M$35=$B28)*'MLBB (MSC)'!$G$11:$G$35)),0)</f>
        <v>0</v>
      </c>
      <c r="R28" s="130" t="n">
        <f aca="false">IFERROR(SUMPRODUCT(MAX(('Apex Legends'!$O$11:$O$50=$B28)*'Apex Legends'!$I$11:$I$50)),0)</f>
        <v>0</v>
      </c>
      <c r="S28" s="130" t="n">
        <f aca="false">IFERROR(SUMPRODUCT(MAX(('Honor of Kings'!$N$11:$N$30=$B28)*'Honor of Kings'!$H$11:$H$30)),0)</f>
        <v>0</v>
      </c>
      <c r="T28" s="130" t="n">
        <f aca="false">IFERROR(SUMPRODUCT(MAX((CrossFire!$L$11:$L$26=$B28)*CrossFire!$F$11:$F$26)),0)</f>
        <v>0</v>
      </c>
      <c r="U28" s="130" t="n">
        <f aca="false">IFERROR(SUMPRODUCT(MAX(('Free Fire'!$M$11:$M$34=$B28)*'Free Fire'!$G$11:$G$34)),0)</f>
        <v>0</v>
      </c>
      <c r="V28" s="130" t="n">
        <f aca="false">IFERROR(SUMPRODUCT(MAX(('EA FC 26'!$N$11:$N$46=$B28)*'EA FC 26'!$H$11:$H$46)),0)</f>
        <v>0</v>
      </c>
      <c r="W28" s="130" t="n">
        <f aca="false">IFERROR(SUMPRODUCT(MAX(('Black Ops 7'!$O$11:$O$26=$B28)*'Black Ops 7'!$J$11:$J$26)),0)</f>
        <v>0</v>
      </c>
      <c r="X28" s="130" t="n">
        <f aca="false">IFERROR(SUMPRODUCT(MAX(('Rocket League'!$P$11:$P$26=$B28)*'Rocket League'!$J$11:$J$26)),0)</f>
        <v>0</v>
      </c>
      <c r="Y28" s="130" t="n">
        <f aca="false">IFERROR(SUMPRODUCT(MAX(('Overwatch 2'!$L$11:$L$26=$B28)*'Overwatch 2'!$F$11:$F$26)),0)</f>
        <v>0</v>
      </c>
      <c r="Z28" s="130" t="n">
        <f aca="false">IFERROR(SUMPRODUCT(MAX((PUBG!$L$11:$L$34=$B28)*PUBG!$F$11:$F$34)),0)</f>
        <v>0</v>
      </c>
      <c r="AA28" s="130" t="n">
        <f aca="false">IFERROR(SUMPRODUCT(MAX(('MLBB Women'!$L$11:$L$26=$B28)*'MLBB Women'!$F$11:$F$26)),0)</f>
        <v>0</v>
      </c>
      <c r="AB28" s="130" t="n">
        <f aca="false">SUM(C28:AA28)</f>
        <v>950</v>
      </c>
      <c r="AC28" s="130" t="n">
        <v>950</v>
      </c>
      <c r="AD28" s="200" t="n">
        <f aca="false">AB28-AC28</f>
        <v>0</v>
      </c>
      <c r="AE28" s="82" t="str">
        <f aca="false">IF(AB28=0,"not started",IF(AD28=0,"reconciled",IF(AD28&gt;0,"CHECK NAMES","in progress")))</f>
        <v>reconciled</v>
      </c>
    </row>
    <row r="29" customFormat="false" ht="15" hidden="false" customHeight="true" outlineLevel="0" collapsed="false">
      <c r="B29" s="66" t="s">
        <v>332</v>
      </c>
      <c r="C29" s="130" t="n">
        <f aca="false">IFERROR(SUMIF(CS2!$L$11:$L$42,$B29,CS2!$F$11:$F$42),0)</f>
        <v>0</v>
      </c>
      <c r="D29" s="130" t="n">
        <f aca="false">IFERROR(SUMPRODUCT(MAX((Chess!$L$11:$L$32=$B29)*Chess!$F$11:$F$32)),0)</f>
        <v>0</v>
      </c>
      <c r="E29" s="130" t="n">
        <f aca="false">IFERROR(SUMPRODUCT(MAX((LoL!$L$11:$L$26=$B29)*LoL!$F$11:$F$26)),0)</f>
        <v>0</v>
      </c>
      <c r="F29" s="130" t="n">
        <f aca="false">IFERROR(SUMPRODUCT(MAX(('PUBG Mobile'!$L$11:$L$42=$B29)*'PUBG Mobile'!$F$11:$F$42)),0)</f>
        <v>0</v>
      </c>
      <c r="G29" s="130" t="n">
        <f aca="false">IFERROR(SUMPRODUCT(MAX(('Fortnite Reload'!$L$11:$L$50=$B29)*'Fortnite Reload'!$F$11:$F$50)),0)</f>
        <v>0</v>
      </c>
      <c r="H29" s="130" t="n">
        <f aca="false">IFERROR(SUMPRODUCT(MAX((Trackmania!$M$11:$M$42=$B29)*Trackmania!$G$11:$G$42)),0)</f>
        <v>0</v>
      </c>
      <c r="I29" s="130" t="n">
        <f aca="false">IFERROR(SUMPRODUCT(MAX(('Dota 2'!$N$11:$N$34=$B29)*'Dota 2'!$H$11:$H$34)),0)</f>
        <v>0</v>
      </c>
      <c r="J29" s="130" t="n">
        <f aca="false">IFERROR(SUMPRODUCT(MAX(('Tekken 8'!$N$11:$N$42=$B29)*'Tekken 8'!$H$11:$H$42)),0)</f>
        <v>0</v>
      </c>
      <c r="K29" s="130" t="n">
        <f aca="false">IFERROR(SUMPRODUCT(MAX(('Street Fighter 6'!$O$11:$O$42=$B29)*'Street Fighter 6'!$I$11:$I$42)),0)</f>
        <v>0</v>
      </c>
      <c r="L29" s="130" t="n">
        <f aca="false">IFERROR(SUMPRODUCT(MAX(('Fatal Fury CotW'!$L$11:$L$42=$B29)*'Fatal Fury CotW'!$F$11:$F$42)),0)</f>
        <v>0</v>
      </c>
      <c r="M29" s="130" t="n">
        <f aca="false">IFERROR(SUMPRODUCT(MAX((TFT!$N$11:$N$26=$B29)*TFT!$H$11:$H$26)),0)</f>
        <v>0</v>
      </c>
      <c r="N29" s="130" t="n">
        <f aca="false">IFERROR(SUMPRODUCT(MAX(('Rainbow Six'!$P$11:$P$32=$B29)*'Rainbow Six'!$J$11:$J$32)),0)</f>
        <v>0</v>
      </c>
      <c r="O29" s="130" t="n">
        <f aca="false">IFERROR(SUMPRODUCT(MAX((Warzone!$M$11:$M$42=$B29)*Warzone!$G$11:$G$42)),0)</f>
        <v>0</v>
      </c>
      <c r="P29" s="130" t="n">
        <f aca="false">IFERROR(SUMPRODUCT(MAX((Valorant!$N$11:$N$26=$B29)*Valorant!$H$11:$H$26)),0)</f>
        <v>0</v>
      </c>
      <c r="Q29" s="130" t="n">
        <f aca="false">IFERROR(SUMPRODUCT(MAX(('MLBB (MSC)'!$M$11:$M$35=$B29)*'MLBB (MSC)'!$G$11:$G$35)),0)</f>
        <v>0</v>
      </c>
      <c r="R29" s="130" t="n">
        <f aca="false">IFERROR(SUMPRODUCT(MAX(('Apex Legends'!$O$11:$O$50=$B29)*'Apex Legends'!$I$11:$I$50)),0)</f>
        <v>0</v>
      </c>
      <c r="S29" s="130" t="n">
        <f aca="false">IFERROR(SUMPRODUCT(MAX(('Honor of Kings'!$N$11:$N$30=$B29)*'Honor of Kings'!$H$11:$H$30)),0)</f>
        <v>0</v>
      </c>
      <c r="T29" s="130" t="n">
        <f aca="false">IFERROR(SUMPRODUCT(MAX((CrossFire!$L$11:$L$26=$B29)*CrossFire!$F$11:$F$26)),0)</f>
        <v>0</v>
      </c>
      <c r="U29" s="130" t="n">
        <f aca="false">IFERROR(SUMPRODUCT(MAX(('Free Fire'!$M$11:$M$34=$B29)*'Free Fire'!$G$11:$G$34)),0)</f>
        <v>0</v>
      </c>
      <c r="V29" s="130" t="n">
        <f aca="false">IFERROR(SUMPRODUCT(MAX(('EA FC 26'!$N$11:$N$46=$B29)*'EA FC 26'!$H$11:$H$46)),0)</f>
        <v>0</v>
      </c>
      <c r="W29" s="130" t="n">
        <f aca="false">IFERROR(SUMPRODUCT(MAX(('Black Ops 7'!$O$11:$O$26=$B29)*'Black Ops 7'!$J$11:$J$26)),0)</f>
        <v>0</v>
      </c>
      <c r="X29" s="130" t="n">
        <f aca="false">IFERROR(SUMPRODUCT(MAX(('Rocket League'!$P$11:$P$26=$B29)*'Rocket League'!$J$11:$J$26)),0)</f>
        <v>750</v>
      </c>
      <c r="Y29" s="130" t="n">
        <f aca="false">IFERROR(SUMPRODUCT(MAX(('Overwatch 2'!$L$11:$L$26=$B29)*'Overwatch 2'!$F$11:$F$26)),0)</f>
        <v>200</v>
      </c>
      <c r="Z29" s="130" t="n">
        <f aca="false">IFERROR(SUMPRODUCT(MAX((PUBG!$L$11:$L$34=$B29)*PUBG!$F$11:$F$34)),0)</f>
        <v>0</v>
      </c>
      <c r="AA29" s="130" t="n">
        <f aca="false">IFERROR(SUMPRODUCT(MAX(('MLBB Women'!$L$11:$L$26=$B29)*'MLBB Women'!$F$11:$F$26)),0)</f>
        <v>0</v>
      </c>
      <c r="AB29" s="130" t="n">
        <f aca="false">SUM(C29:AA29)</f>
        <v>950</v>
      </c>
      <c r="AC29" s="130" t="n">
        <v>950</v>
      </c>
      <c r="AD29" s="200" t="n">
        <f aca="false">AB29-AC29</f>
        <v>0</v>
      </c>
      <c r="AE29" s="82" t="str">
        <f aca="false">IF(AB29=0,"not started",IF(AD29=0,"reconciled",IF(AD29&gt;0,"CHECK NAMES","in progress")))</f>
        <v>reconciled</v>
      </c>
    </row>
    <row r="30" customFormat="false" ht="15" hidden="false" customHeight="true" outlineLevel="0" collapsed="false">
      <c r="B30" s="92" t="s">
        <v>241</v>
      </c>
      <c r="C30" s="130" t="n">
        <f aca="false">IFERROR(SUMIF(CS2!$L$11:$L$42,$B30,CS2!$F$11:$F$42),0)</f>
        <v>0</v>
      </c>
      <c r="D30" s="130" t="n">
        <f aca="false">IFERROR(SUMPRODUCT(MAX((Chess!$L$11:$L$32=$B30)*Chess!$F$11:$F$32)),0)</f>
        <v>0</v>
      </c>
      <c r="E30" s="130" t="n">
        <f aca="false">IFERROR(SUMPRODUCT(MAX((LoL!$L$11:$L$26=$B30)*LoL!$F$11:$F$26)),0)</f>
        <v>1000</v>
      </c>
      <c r="F30" s="130" t="n">
        <f aca="false">IFERROR(SUMPRODUCT(MAX(('PUBG Mobile'!$L$11:$L$42=$B30)*'PUBG Mobile'!$F$11:$F$42)),0)</f>
        <v>0</v>
      </c>
      <c r="G30" s="130" t="n">
        <f aca="false">IFERROR(SUMPRODUCT(MAX(('Fortnite Reload'!$L$11:$L$50=$B30)*'Fortnite Reload'!$F$11:$F$50)),0)</f>
        <v>0</v>
      </c>
      <c r="H30" s="130" t="n">
        <f aca="false">IFERROR(SUMPRODUCT(MAX((Trackmania!$M$11:$M$42=$B30)*Trackmania!$G$11:$G$42)),0)</f>
        <v>0</v>
      </c>
      <c r="I30" s="130" t="n">
        <f aca="false">IFERROR(SUMPRODUCT(MAX(('Dota 2'!$N$11:$N$34=$B30)*'Dota 2'!$H$11:$H$34)),0)</f>
        <v>0</v>
      </c>
      <c r="J30" s="130" t="n">
        <f aca="false">IFERROR(SUMPRODUCT(MAX(('Tekken 8'!$N$11:$N$42=$B30)*'Tekken 8'!$H$11:$H$42)),0)</f>
        <v>0</v>
      </c>
      <c r="K30" s="130" t="n">
        <f aca="false">IFERROR(SUMPRODUCT(MAX(('Street Fighter 6'!$O$11:$O$42=$B30)*'Street Fighter 6'!$I$11:$I$42)),0)</f>
        <v>0</v>
      </c>
      <c r="L30" s="130" t="n">
        <f aca="false">IFERROR(SUMPRODUCT(MAX(('Fatal Fury CotW'!$L$11:$L$42=$B30)*'Fatal Fury CotW'!$F$11:$F$42)),0)</f>
        <v>0</v>
      </c>
      <c r="M30" s="130" t="n">
        <f aca="false">IFERROR(SUMPRODUCT(MAX((TFT!$N$11:$N$26=$B30)*TFT!$H$11:$H$26)),0)</f>
        <v>0</v>
      </c>
      <c r="N30" s="130" t="n">
        <f aca="false">IFERROR(SUMPRODUCT(MAX(('Rainbow Six'!$P$11:$P$32=$B30)*'Rainbow Six'!$J$11:$J$32)),0)</f>
        <v>0</v>
      </c>
      <c r="O30" s="130" t="n">
        <f aca="false">IFERROR(SUMPRODUCT(MAX((Warzone!$M$11:$M$42=$B30)*Warzone!$G$11:$G$42)),0)</f>
        <v>0</v>
      </c>
      <c r="P30" s="130" t="n">
        <f aca="false">IFERROR(SUMPRODUCT(MAX((Valorant!$N$11:$N$26=$B30)*Valorant!$H$11:$H$26)),0)</f>
        <v>0</v>
      </c>
      <c r="Q30" s="130" t="n">
        <f aca="false">IFERROR(SUMPRODUCT(MAX(('MLBB (MSC)'!$M$11:$M$35=$B30)*'MLBB (MSC)'!$G$11:$G$35)),0)</f>
        <v>0</v>
      </c>
      <c r="R30" s="130" t="n">
        <f aca="false">IFERROR(SUMPRODUCT(MAX(('Apex Legends'!$O$11:$O$50=$B30)*'Apex Legends'!$I$11:$I$50)),0)</f>
        <v>0</v>
      </c>
      <c r="S30" s="130" t="n">
        <f aca="false">IFERROR(SUMPRODUCT(MAX(('Honor of Kings'!$N$11:$N$30=$B30)*'Honor of Kings'!$H$11:$H$30)),0)</f>
        <v>0</v>
      </c>
      <c r="T30" s="130" t="n">
        <f aca="false">IFERROR(SUMPRODUCT(MAX((CrossFire!$L$11:$L$26=$B30)*CrossFire!$F$11:$F$26)),0)</f>
        <v>0</v>
      </c>
      <c r="U30" s="130" t="n">
        <f aca="false">IFERROR(SUMPRODUCT(MAX(('Free Fire'!$M$11:$M$34=$B30)*'Free Fire'!$G$11:$G$34)),0)</f>
        <v>0</v>
      </c>
      <c r="V30" s="130" t="n">
        <f aca="false">IFERROR(SUMPRODUCT(MAX(('EA FC 26'!$N$11:$N$46=$B30)*'EA FC 26'!$H$11:$H$46)),0)</f>
        <v>0</v>
      </c>
      <c r="W30" s="130" t="n">
        <f aca="false">IFERROR(SUMPRODUCT(MAX(('Black Ops 7'!$O$11:$O$26=$B30)*'Black Ops 7'!$J$11:$J$26)),0)</f>
        <v>0</v>
      </c>
      <c r="X30" s="130" t="n">
        <f aca="false">IFERROR(SUMPRODUCT(MAX(('Rocket League'!$P$11:$P$26=$B30)*'Rocket League'!$J$11:$J$26)),0)</f>
        <v>0</v>
      </c>
      <c r="Y30" s="130" t="n">
        <f aca="false">IFERROR(SUMPRODUCT(MAX(('Overwatch 2'!$L$11:$L$26=$B30)*'Overwatch 2'!$F$11:$F$26)),0)</f>
        <v>0</v>
      </c>
      <c r="Z30" s="130" t="n">
        <f aca="false">IFERROR(SUMPRODUCT(MAX((PUBG!$L$11:$L$34=$B30)*PUBG!$F$11:$F$34)),0)</f>
        <v>0</v>
      </c>
      <c r="AA30" s="130" t="n">
        <f aca="false">IFERROR(SUMPRODUCT(MAX(('MLBB Women'!$L$11:$L$26=$B30)*'MLBB Women'!$F$11:$F$26)),0)</f>
        <v>0</v>
      </c>
      <c r="AB30" s="130" t="n">
        <f aca="false">SUM(C30:AA30)</f>
        <v>1000</v>
      </c>
      <c r="AC30" s="130" t="n">
        <v>1000</v>
      </c>
      <c r="AD30" s="200" t="n">
        <f aca="false">AB30-AC30</f>
        <v>0</v>
      </c>
      <c r="AE30" s="82" t="str">
        <f aca="false">IF(AB30=0,"not started",IF(AD30=0,"reconciled",IF(AD30&gt;0,"CHECK NAMES","in progress")))</f>
        <v>reconciled</v>
      </c>
    </row>
    <row r="31" customFormat="false" ht="15" hidden="false" customHeight="true" outlineLevel="0" collapsed="false">
      <c r="B31" s="92" t="s">
        <v>374</v>
      </c>
      <c r="C31" s="130" t="n">
        <f aca="false">IFERROR(SUMIF(CS2!$L$11:$L$42,$B31,CS2!$F$11:$F$42),0)</f>
        <v>0</v>
      </c>
      <c r="D31" s="130" t="n">
        <f aca="false">IFERROR(SUMPRODUCT(MAX((Chess!$L$11:$L$32=$B31)*Chess!$F$11:$F$32)),0)</f>
        <v>0</v>
      </c>
      <c r="E31" s="130" t="n">
        <f aca="false">IFERROR(SUMPRODUCT(MAX((LoL!$L$11:$L$26=$B31)*LoL!$F$11:$F$26)),0)</f>
        <v>0</v>
      </c>
      <c r="F31" s="130" t="n">
        <f aca="false">IFERROR(SUMPRODUCT(MAX(('PUBG Mobile'!$L$11:$L$42=$B31)*'PUBG Mobile'!$F$11:$F$42)),0)</f>
        <v>0</v>
      </c>
      <c r="G31" s="130" t="n">
        <f aca="false">IFERROR(SUMPRODUCT(MAX(('Fortnite Reload'!$L$11:$L$50=$B31)*'Fortnite Reload'!$F$11:$F$50)),0)</f>
        <v>0</v>
      </c>
      <c r="H31" s="130" t="n">
        <f aca="false">IFERROR(SUMPRODUCT(MAX((Trackmania!$M$11:$M$42=$B31)*Trackmania!$G$11:$G$42)),0)</f>
        <v>0</v>
      </c>
      <c r="I31" s="130" t="n">
        <f aca="false">IFERROR(SUMPRODUCT(MAX(('Dota 2'!$N$11:$N$34=$B31)*'Dota 2'!$H$11:$H$34)),0)</f>
        <v>0</v>
      </c>
      <c r="J31" s="130" t="n">
        <f aca="false">IFERROR(SUMPRODUCT(MAX(('Tekken 8'!$N$11:$N$42=$B31)*'Tekken 8'!$H$11:$H$42)),0)</f>
        <v>0</v>
      </c>
      <c r="K31" s="130" t="n">
        <f aca="false">IFERROR(SUMPRODUCT(MAX(('Street Fighter 6'!$O$11:$O$42=$B31)*'Street Fighter 6'!$I$11:$I$42)),0)</f>
        <v>0</v>
      </c>
      <c r="L31" s="130" t="n">
        <f aca="false">IFERROR(SUMPRODUCT(MAX(('Fatal Fury CotW'!$L$11:$L$42=$B31)*'Fatal Fury CotW'!$F$11:$F$42)),0)</f>
        <v>0</v>
      </c>
      <c r="M31" s="130" t="n">
        <f aca="false">IFERROR(SUMPRODUCT(MAX((TFT!$N$11:$N$26=$B31)*TFT!$H$11:$H$26)),0)</f>
        <v>0</v>
      </c>
      <c r="N31" s="130" t="n">
        <f aca="false">IFERROR(SUMPRODUCT(MAX(('Rainbow Six'!$P$11:$P$32=$B31)*'Rainbow Six'!$J$11:$J$32)),0)</f>
        <v>0</v>
      </c>
      <c r="O31" s="130" t="n">
        <f aca="false">IFERROR(SUMPRODUCT(MAX((Warzone!$M$11:$M$42=$B31)*Warzone!$G$11:$G$42)),0)</f>
        <v>0</v>
      </c>
      <c r="P31" s="130" t="n">
        <f aca="false">IFERROR(SUMPRODUCT(MAX((Valorant!$N$11:$N$26=$B31)*Valorant!$H$11:$H$26)),0)</f>
        <v>0</v>
      </c>
      <c r="Q31" s="130" t="n">
        <f aca="false">IFERROR(SUMPRODUCT(MAX(('MLBB (MSC)'!$M$11:$M$35=$B31)*'MLBB (MSC)'!$G$11:$G$35)),0)</f>
        <v>0</v>
      </c>
      <c r="R31" s="130" t="n">
        <f aca="false">IFERROR(SUMPRODUCT(MAX(('Apex Legends'!$O$11:$O$50=$B31)*'Apex Legends'!$I$11:$I$50)),0)</f>
        <v>0</v>
      </c>
      <c r="S31" s="130" t="n">
        <f aca="false">IFERROR(SUMPRODUCT(MAX(('Honor of Kings'!$N$11:$N$30=$B31)*'Honor of Kings'!$H$11:$H$30)),0)</f>
        <v>1000</v>
      </c>
      <c r="T31" s="130" t="n">
        <f aca="false">IFERROR(SUMPRODUCT(MAX((CrossFire!$L$11:$L$26=$B31)*CrossFire!$F$11:$F$26)),0)</f>
        <v>0</v>
      </c>
      <c r="U31" s="130" t="n">
        <f aca="false">IFERROR(SUMPRODUCT(MAX(('Free Fire'!$M$11:$M$34=$B31)*'Free Fire'!$G$11:$G$34)),0)</f>
        <v>0</v>
      </c>
      <c r="V31" s="130" t="n">
        <f aca="false">IFERROR(SUMPRODUCT(MAX(('EA FC 26'!$N$11:$N$46=$B31)*'EA FC 26'!$H$11:$H$46)),0)</f>
        <v>0</v>
      </c>
      <c r="W31" s="130" t="n">
        <f aca="false">IFERROR(SUMPRODUCT(MAX(('Black Ops 7'!$O$11:$O$26=$B31)*'Black Ops 7'!$J$11:$J$26)),0)</f>
        <v>0</v>
      </c>
      <c r="X31" s="130" t="n">
        <f aca="false">IFERROR(SUMPRODUCT(MAX(('Rocket League'!$P$11:$P$26=$B31)*'Rocket League'!$J$11:$J$26)),0)</f>
        <v>0</v>
      </c>
      <c r="Y31" s="130" t="n">
        <f aca="false">IFERROR(SUMPRODUCT(MAX(('Overwatch 2'!$L$11:$L$26=$B31)*'Overwatch 2'!$F$11:$F$26)),0)</f>
        <v>0</v>
      </c>
      <c r="Z31" s="130" t="n">
        <f aca="false">IFERROR(SUMPRODUCT(MAX((PUBG!$L$11:$L$34=$B31)*PUBG!$F$11:$F$34)),0)</f>
        <v>0</v>
      </c>
      <c r="AA31" s="130" t="n">
        <f aca="false">IFERROR(SUMPRODUCT(MAX(('MLBB Women'!$L$11:$L$26=$B31)*'MLBB Women'!$F$11:$F$26)),0)</f>
        <v>0</v>
      </c>
      <c r="AB31" s="130" t="n">
        <f aca="false">SUM(C31:AA31)</f>
        <v>1000</v>
      </c>
      <c r="AC31" s="130" t="n">
        <v>1000</v>
      </c>
      <c r="AD31" s="200" t="n">
        <f aca="false">AB31-AC31</f>
        <v>0</v>
      </c>
      <c r="AE31" s="82" t="str">
        <f aca="false">IF(AB31=0,"not started",IF(AD31=0,"reconciled",IF(AD31&gt;0,"CHECK NAMES","in progress")))</f>
        <v>reconciled</v>
      </c>
    </row>
    <row r="32" customFormat="false" ht="15" hidden="false" customHeight="true" outlineLevel="0" collapsed="false">
      <c r="B32" s="92" t="s">
        <v>290</v>
      </c>
      <c r="C32" s="130" t="n">
        <f aca="false">IFERROR(SUMIF(CS2!$L$11:$L$42,$B32,CS2!$F$11:$F$42),0)</f>
        <v>0</v>
      </c>
      <c r="D32" s="130" t="n">
        <f aca="false">IFERROR(SUMPRODUCT(MAX((Chess!$L$11:$L$32=$B32)*Chess!$F$11:$F$32)),0)</f>
        <v>0</v>
      </c>
      <c r="E32" s="130" t="n">
        <f aca="false">IFERROR(SUMPRODUCT(MAX((LoL!$L$11:$L$26=$B32)*LoL!$F$11:$F$26)),0)</f>
        <v>0</v>
      </c>
      <c r="F32" s="130" t="n">
        <f aca="false">IFERROR(SUMPRODUCT(MAX(('PUBG Mobile'!$L$11:$L$42=$B32)*'PUBG Mobile'!$F$11:$F$42)),0)</f>
        <v>0</v>
      </c>
      <c r="G32" s="130" t="n">
        <f aca="false">IFERROR(SUMPRODUCT(MAX(('Fortnite Reload'!$L$11:$L$50=$B32)*'Fortnite Reload'!$F$11:$F$50)),0)</f>
        <v>0</v>
      </c>
      <c r="H32" s="130" t="n">
        <f aca="false">IFERROR(SUMPRODUCT(MAX((Trackmania!$M$11:$M$42=$B32)*Trackmania!$G$11:$G$42)),0)</f>
        <v>0</v>
      </c>
      <c r="I32" s="130" t="n">
        <f aca="false">IFERROR(SUMPRODUCT(MAX(('Dota 2'!$N$11:$N$34=$B32)*'Dota 2'!$H$11:$H$34)),0)</f>
        <v>0</v>
      </c>
      <c r="J32" s="130" t="n">
        <f aca="false">IFERROR(SUMPRODUCT(MAX(('Tekken 8'!$N$11:$N$42=$B32)*'Tekken 8'!$H$11:$H$42)),0)</f>
        <v>0</v>
      </c>
      <c r="K32" s="130" t="n">
        <f aca="false">IFERROR(SUMPRODUCT(MAX(('Street Fighter 6'!$O$11:$O$42=$B32)*'Street Fighter 6'!$I$11:$I$42)),0)</f>
        <v>0</v>
      </c>
      <c r="L32" s="130" t="n">
        <f aca="false">IFERROR(SUMPRODUCT(MAX(('Fatal Fury CotW'!$L$11:$L$42=$B32)*'Fatal Fury CotW'!$F$11:$F$42)),0)</f>
        <v>0</v>
      </c>
      <c r="M32" s="130" t="n">
        <f aca="false">IFERROR(SUMPRODUCT(MAX((TFT!$N$11:$N$26=$B32)*TFT!$H$11:$H$26)),0)</f>
        <v>0</v>
      </c>
      <c r="N32" s="130" t="n">
        <f aca="false">IFERROR(SUMPRODUCT(MAX(('Rainbow Six'!$P$11:$P$32=$B32)*'Rainbow Six'!$J$11:$J$32)),0)</f>
        <v>0</v>
      </c>
      <c r="O32" s="130" t="n">
        <f aca="false">IFERROR(SUMPRODUCT(MAX((Warzone!$M$11:$M$42=$B32)*Warzone!$G$11:$G$42)),0)</f>
        <v>0</v>
      </c>
      <c r="P32" s="130" t="n">
        <f aca="false">IFERROR(SUMPRODUCT(MAX((Valorant!$N$11:$N$26=$B32)*Valorant!$H$11:$H$26)),0)</f>
        <v>0</v>
      </c>
      <c r="Q32" s="130" t="n">
        <f aca="false">IFERROR(SUMPRODUCT(MAX(('MLBB (MSC)'!$M$11:$M$35=$B32)*'MLBB (MSC)'!$G$11:$G$35)),0)</f>
        <v>0</v>
      </c>
      <c r="R32" s="130" t="n">
        <f aca="false">IFERROR(SUMPRODUCT(MAX(('Apex Legends'!$O$11:$O$50=$B32)*'Apex Legends'!$I$11:$I$50)),0)</f>
        <v>0</v>
      </c>
      <c r="S32" s="130" t="n">
        <f aca="false">IFERROR(SUMPRODUCT(MAX(('Honor of Kings'!$N$11:$N$30=$B32)*'Honor of Kings'!$H$11:$H$30)),0)</f>
        <v>0</v>
      </c>
      <c r="T32" s="130" t="n">
        <f aca="false">IFERROR(SUMPRODUCT(MAX((CrossFire!$L$11:$L$26=$B32)*CrossFire!$F$11:$F$26)),0)</f>
        <v>0</v>
      </c>
      <c r="U32" s="130" t="n">
        <f aca="false">IFERROR(SUMPRODUCT(MAX(('Free Fire'!$M$11:$M$34=$B32)*'Free Fire'!$G$11:$G$34)),0)</f>
        <v>1000</v>
      </c>
      <c r="V32" s="130" t="n">
        <f aca="false">IFERROR(SUMPRODUCT(MAX(('EA FC 26'!$N$11:$N$46=$B32)*'EA FC 26'!$H$11:$H$46)),0)</f>
        <v>0</v>
      </c>
      <c r="W32" s="130" t="n">
        <f aca="false">IFERROR(SUMPRODUCT(MAX(('Black Ops 7'!$O$11:$O$26=$B32)*'Black Ops 7'!$J$11:$J$26)),0)</f>
        <v>0</v>
      </c>
      <c r="X32" s="130" t="n">
        <f aca="false">IFERROR(SUMPRODUCT(MAX(('Rocket League'!$P$11:$P$26=$B32)*'Rocket League'!$J$11:$J$26)),0)</f>
        <v>0</v>
      </c>
      <c r="Y32" s="130" t="n">
        <f aca="false">IFERROR(SUMPRODUCT(MAX(('Overwatch 2'!$L$11:$L$26=$B32)*'Overwatch 2'!$F$11:$F$26)),0)</f>
        <v>0</v>
      </c>
      <c r="Z32" s="130" t="n">
        <f aca="false">IFERROR(SUMPRODUCT(MAX((PUBG!$L$11:$L$34=$B32)*PUBG!$F$11:$F$34)),0)</f>
        <v>0</v>
      </c>
      <c r="AA32" s="130" t="n">
        <f aca="false">IFERROR(SUMPRODUCT(MAX(('MLBB Women'!$L$11:$L$26=$B32)*'MLBB Women'!$F$11:$F$26)),0)</f>
        <v>0</v>
      </c>
      <c r="AB32" s="130" t="n">
        <f aca="false">SUM(C32:AA32)</f>
        <v>1000</v>
      </c>
      <c r="AC32" s="130" t="n">
        <v>1000</v>
      </c>
      <c r="AD32" s="200" t="n">
        <f aca="false">AB32-AC32</f>
        <v>0</v>
      </c>
      <c r="AE32" s="82" t="str">
        <f aca="false">IF(AB32=0,"not started",IF(AD32=0,"reconciled",IF(AD32&gt;0,"CHECK NAMES","in progress")))</f>
        <v>reconciled</v>
      </c>
    </row>
    <row r="33" customFormat="false" ht="15" hidden="false" customHeight="true" outlineLevel="0" collapsed="false">
      <c r="B33" s="92" t="s">
        <v>382</v>
      </c>
      <c r="C33" s="130" t="n">
        <f aca="false">IFERROR(SUMIF(CS2!$L$11:$L$42,$B33,CS2!$F$11:$F$42),0)</f>
        <v>0</v>
      </c>
      <c r="D33" s="130" t="n">
        <f aca="false">IFERROR(SUMPRODUCT(MAX((Chess!$L$11:$L$32=$B33)*Chess!$F$11:$F$32)),0)</f>
        <v>0</v>
      </c>
      <c r="E33" s="130" t="n">
        <f aca="false">IFERROR(SUMPRODUCT(MAX((LoL!$L$11:$L$26=$B33)*LoL!$F$11:$F$26)),0)</f>
        <v>0</v>
      </c>
      <c r="F33" s="130" t="n">
        <f aca="false">IFERROR(SUMPRODUCT(MAX(('PUBG Mobile'!$L$11:$L$42=$B33)*'PUBG Mobile'!$F$11:$F$42)),0)</f>
        <v>0</v>
      </c>
      <c r="G33" s="130" t="n">
        <f aca="false">IFERROR(SUMPRODUCT(MAX(('Fortnite Reload'!$L$11:$L$50=$B33)*'Fortnite Reload'!$F$11:$F$50)),0)</f>
        <v>0</v>
      </c>
      <c r="H33" s="130" t="n">
        <f aca="false">IFERROR(SUMPRODUCT(MAX((Trackmania!$M$11:$M$42=$B33)*Trackmania!$G$11:$G$42)),0)</f>
        <v>0</v>
      </c>
      <c r="I33" s="130" t="n">
        <f aca="false">IFERROR(SUMPRODUCT(MAX(('Dota 2'!$N$11:$N$34=$B33)*'Dota 2'!$H$11:$H$34)),0)</f>
        <v>1000</v>
      </c>
      <c r="J33" s="130" t="n">
        <f aca="false">IFERROR(SUMPRODUCT(MAX(('Tekken 8'!$N$11:$N$42=$B33)*'Tekken 8'!$H$11:$H$42)),0)</f>
        <v>0</v>
      </c>
      <c r="K33" s="130" t="n">
        <f aca="false">IFERROR(SUMPRODUCT(MAX(('Street Fighter 6'!$O$11:$O$42=$B33)*'Street Fighter 6'!$I$11:$I$42)),0)</f>
        <v>0</v>
      </c>
      <c r="L33" s="130" t="n">
        <f aca="false">IFERROR(SUMPRODUCT(MAX(('Fatal Fury CotW'!$L$11:$L$42=$B33)*'Fatal Fury CotW'!$F$11:$F$42)),0)</f>
        <v>0</v>
      </c>
      <c r="M33" s="130" t="n">
        <f aca="false">IFERROR(SUMPRODUCT(MAX((TFT!$N$11:$N$26=$B33)*TFT!$H$11:$H$26)),0)</f>
        <v>0</v>
      </c>
      <c r="N33" s="130" t="n">
        <f aca="false">IFERROR(SUMPRODUCT(MAX(('Rainbow Six'!$P$11:$P$32=$B33)*'Rainbow Six'!$J$11:$J$32)),0)</f>
        <v>0</v>
      </c>
      <c r="O33" s="130" t="n">
        <f aca="false">IFERROR(SUMPRODUCT(MAX((Warzone!$M$11:$M$42=$B33)*Warzone!$G$11:$G$42)),0)</f>
        <v>0</v>
      </c>
      <c r="P33" s="130" t="n">
        <f aca="false">IFERROR(SUMPRODUCT(MAX((Valorant!$N$11:$N$26=$B33)*Valorant!$H$11:$H$26)),0)</f>
        <v>0</v>
      </c>
      <c r="Q33" s="130" t="n">
        <f aca="false">IFERROR(SUMPRODUCT(MAX(('MLBB (MSC)'!$M$11:$M$35=$B33)*'MLBB (MSC)'!$G$11:$G$35)),0)</f>
        <v>0</v>
      </c>
      <c r="R33" s="130" t="n">
        <f aca="false">IFERROR(SUMPRODUCT(MAX(('Apex Legends'!$O$11:$O$50=$B33)*'Apex Legends'!$I$11:$I$50)),0)</f>
        <v>0</v>
      </c>
      <c r="S33" s="130" t="n">
        <f aca="false">IFERROR(SUMPRODUCT(MAX(('Honor of Kings'!$N$11:$N$30=$B33)*'Honor of Kings'!$H$11:$H$30)),0)</f>
        <v>0</v>
      </c>
      <c r="T33" s="130" t="n">
        <f aca="false">IFERROR(SUMPRODUCT(MAX((CrossFire!$L$11:$L$26=$B33)*CrossFire!$F$11:$F$26)),0)</f>
        <v>0</v>
      </c>
      <c r="U33" s="130" t="n">
        <f aca="false">IFERROR(SUMPRODUCT(MAX(('Free Fire'!$M$11:$M$34=$B33)*'Free Fire'!$G$11:$G$34)),0)</f>
        <v>0</v>
      </c>
      <c r="V33" s="130" t="n">
        <f aca="false">IFERROR(SUMPRODUCT(MAX(('EA FC 26'!$N$11:$N$46=$B33)*'EA FC 26'!$H$11:$H$46)),0)</f>
        <v>0</v>
      </c>
      <c r="W33" s="130" t="n">
        <f aca="false">IFERROR(SUMPRODUCT(MAX(('Black Ops 7'!$O$11:$O$26=$B33)*'Black Ops 7'!$J$11:$J$26)),0)</f>
        <v>0</v>
      </c>
      <c r="X33" s="130" t="n">
        <f aca="false">IFERROR(SUMPRODUCT(MAX(('Rocket League'!$P$11:$P$26=$B33)*'Rocket League'!$J$11:$J$26)),0)</f>
        <v>0</v>
      </c>
      <c r="Y33" s="130" t="n">
        <f aca="false">IFERROR(SUMPRODUCT(MAX(('Overwatch 2'!$L$11:$L$26=$B33)*'Overwatch 2'!$F$11:$F$26)),0)</f>
        <v>0</v>
      </c>
      <c r="Z33" s="130" t="n">
        <f aca="false">IFERROR(SUMPRODUCT(MAX((PUBG!$L$11:$L$34=$B33)*PUBG!$F$11:$F$34)),0)</f>
        <v>0</v>
      </c>
      <c r="AA33" s="130" t="n">
        <f aca="false">IFERROR(SUMPRODUCT(MAX(('MLBB Women'!$L$11:$L$26=$B33)*'MLBB Women'!$F$11:$F$26)),0)</f>
        <v>0</v>
      </c>
      <c r="AB33" s="130" t="n">
        <f aca="false">SUM(C33:AA33)</f>
        <v>1000</v>
      </c>
      <c r="AC33" s="130" t="n">
        <v>1000</v>
      </c>
      <c r="AD33" s="200" t="n">
        <f aca="false">AB33-AC33</f>
        <v>0</v>
      </c>
      <c r="AE33" s="82" t="str">
        <f aca="false">IF(AB33=0,"not started",IF(AD33=0,"reconciled",IF(AD33&gt;0,"CHECK NAMES","in progress")))</f>
        <v>reconciled</v>
      </c>
    </row>
    <row r="34" customFormat="false" ht="15" hidden="false" customHeight="true" outlineLevel="0" collapsed="false">
      <c r="B34" s="92" t="s">
        <v>259</v>
      </c>
      <c r="C34" s="130" t="n">
        <f aca="false">IFERROR(SUMIF(CS2!$L$11:$L$42,$B34,CS2!$F$11:$F$42),0)</f>
        <v>0</v>
      </c>
      <c r="D34" s="130" t="n">
        <f aca="false">IFERROR(SUMPRODUCT(MAX((Chess!$L$11:$L$32=$B34)*Chess!$F$11:$F$32)),0)</f>
        <v>0</v>
      </c>
      <c r="E34" s="130" t="n">
        <f aca="false">IFERROR(SUMPRODUCT(MAX((LoL!$L$11:$L$26=$B34)*LoL!$F$11:$F$26)),0)</f>
        <v>0</v>
      </c>
      <c r="F34" s="130" t="n">
        <f aca="false">IFERROR(SUMPRODUCT(MAX(('PUBG Mobile'!$L$11:$L$42=$B34)*'PUBG Mobile'!$F$11:$F$42)),0)</f>
        <v>1000</v>
      </c>
      <c r="G34" s="130" t="n">
        <f aca="false">IFERROR(SUMPRODUCT(MAX(('Fortnite Reload'!$L$11:$L$50=$B34)*'Fortnite Reload'!$F$11:$F$50)),0)</f>
        <v>0</v>
      </c>
      <c r="H34" s="130" t="n">
        <f aca="false">IFERROR(SUMPRODUCT(MAX((Trackmania!$M$11:$M$42=$B34)*Trackmania!$G$11:$G$42)),0)</f>
        <v>0</v>
      </c>
      <c r="I34" s="130" t="n">
        <f aca="false">IFERROR(SUMPRODUCT(MAX(('Dota 2'!$N$11:$N$34=$B34)*'Dota 2'!$H$11:$H$34)),0)</f>
        <v>0</v>
      </c>
      <c r="J34" s="130" t="n">
        <f aca="false">IFERROR(SUMPRODUCT(MAX(('Tekken 8'!$N$11:$N$42=$B34)*'Tekken 8'!$H$11:$H$42)),0)</f>
        <v>0</v>
      </c>
      <c r="K34" s="130" t="n">
        <f aca="false">IFERROR(SUMPRODUCT(MAX(('Street Fighter 6'!$O$11:$O$42=$B34)*'Street Fighter 6'!$I$11:$I$42)),0)</f>
        <v>0</v>
      </c>
      <c r="L34" s="130" t="n">
        <f aca="false">IFERROR(SUMPRODUCT(MAX(('Fatal Fury CotW'!$L$11:$L$42=$B34)*'Fatal Fury CotW'!$F$11:$F$42)),0)</f>
        <v>0</v>
      </c>
      <c r="M34" s="130" t="n">
        <f aca="false">IFERROR(SUMPRODUCT(MAX((TFT!$N$11:$N$26=$B34)*TFT!$H$11:$H$26)),0)</f>
        <v>0</v>
      </c>
      <c r="N34" s="130" t="n">
        <f aca="false">IFERROR(SUMPRODUCT(MAX(('Rainbow Six'!$P$11:$P$32=$B34)*'Rainbow Six'!$J$11:$J$32)),0)</f>
        <v>0</v>
      </c>
      <c r="O34" s="130" t="n">
        <f aca="false">IFERROR(SUMPRODUCT(MAX((Warzone!$M$11:$M$42=$B34)*Warzone!$G$11:$G$42)),0)</f>
        <v>0</v>
      </c>
      <c r="P34" s="130" t="n">
        <f aca="false">IFERROR(SUMPRODUCT(MAX((Valorant!$N$11:$N$26=$B34)*Valorant!$H$11:$H$26)),0)</f>
        <v>0</v>
      </c>
      <c r="Q34" s="130" t="n">
        <f aca="false">IFERROR(SUMPRODUCT(MAX(('MLBB (MSC)'!$M$11:$M$35=$B34)*'MLBB (MSC)'!$G$11:$G$35)),0)</f>
        <v>0</v>
      </c>
      <c r="R34" s="130" t="n">
        <f aca="false">IFERROR(SUMPRODUCT(MAX(('Apex Legends'!$O$11:$O$50=$B34)*'Apex Legends'!$I$11:$I$50)),0)</f>
        <v>0</v>
      </c>
      <c r="S34" s="130" t="n">
        <f aca="false">IFERROR(SUMPRODUCT(MAX(('Honor of Kings'!$N$11:$N$30=$B34)*'Honor of Kings'!$H$11:$H$30)),0)</f>
        <v>0</v>
      </c>
      <c r="T34" s="130" t="n">
        <f aca="false">IFERROR(SUMPRODUCT(MAX((CrossFire!$L$11:$L$26=$B34)*CrossFire!$F$11:$F$26)),0)</f>
        <v>0</v>
      </c>
      <c r="U34" s="130" t="n">
        <f aca="false">IFERROR(SUMPRODUCT(MAX(('Free Fire'!$M$11:$M$34=$B34)*'Free Fire'!$G$11:$G$34)),0)</f>
        <v>0</v>
      </c>
      <c r="V34" s="130" t="n">
        <f aca="false">IFERROR(SUMPRODUCT(MAX(('EA FC 26'!$N$11:$N$46=$B34)*'EA FC 26'!$H$11:$H$46)),0)</f>
        <v>0</v>
      </c>
      <c r="W34" s="130" t="n">
        <f aca="false">IFERROR(SUMPRODUCT(MAX(('Black Ops 7'!$O$11:$O$26=$B34)*'Black Ops 7'!$J$11:$J$26)),0)</f>
        <v>0</v>
      </c>
      <c r="X34" s="130" t="n">
        <f aca="false">IFERROR(SUMPRODUCT(MAX(('Rocket League'!$P$11:$P$26=$B34)*'Rocket League'!$J$11:$J$26)),0)</f>
        <v>0</v>
      </c>
      <c r="Y34" s="130" t="n">
        <f aca="false">IFERROR(SUMPRODUCT(MAX(('Overwatch 2'!$L$11:$L$26=$B34)*'Overwatch 2'!$F$11:$F$26)),0)</f>
        <v>0</v>
      </c>
      <c r="Z34" s="130" t="n">
        <f aca="false">IFERROR(SUMPRODUCT(MAX((PUBG!$L$11:$L$34=$B34)*PUBG!$F$11:$F$34)),0)</f>
        <v>0</v>
      </c>
      <c r="AA34" s="130" t="n">
        <f aca="false">IFERROR(SUMPRODUCT(MAX(('MLBB Women'!$L$11:$L$26=$B34)*'MLBB Women'!$F$11:$F$26)),0)</f>
        <v>0</v>
      </c>
      <c r="AB34" s="130" t="n">
        <f aca="false">SUM(C34:AA34)</f>
        <v>1000</v>
      </c>
      <c r="AC34" s="130" t="n">
        <v>1000</v>
      </c>
      <c r="AD34" s="200" t="n">
        <f aca="false">AB34-AC34</f>
        <v>0</v>
      </c>
      <c r="AE34" s="82" t="str">
        <f aca="false">IF(AB34=0,"not started",IF(AD34=0,"reconciled",IF(AD34&gt;0,"CHECK NAMES","in progress")))</f>
        <v>reconciled</v>
      </c>
    </row>
    <row r="35" customFormat="false" ht="15" hidden="false" customHeight="true" outlineLevel="0" collapsed="false">
      <c r="B35" s="92" t="s">
        <v>163</v>
      </c>
      <c r="C35" s="130" t="n">
        <f aca="false">IFERROR(SUMIF(CS2!$L$11:$L$42,$B35,CS2!$F$11:$F$42),0)</f>
        <v>0</v>
      </c>
      <c r="D35" s="130" t="n">
        <f aca="false">IFERROR(SUMPRODUCT(MAX((Chess!$L$11:$L$32=$B35)*Chess!$F$11:$F$32)),0)</f>
        <v>0</v>
      </c>
      <c r="E35" s="130" t="n">
        <f aca="false">IFERROR(SUMPRODUCT(MAX((LoL!$L$11:$L$26=$B35)*LoL!$F$11:$F$26)),0)</f>
        <v>0</v>
      </c>
      <c r="F35" s="130" t="n">
        <f aca="false">IFERROR(SUMPRODUCT(MAX(('PUBG Mobile'!$L$11:$L$42=$B35)*'PUBG Mobile'!$F$11:$F$42)),0)</f>
        <v>0</v>
      </c>
      <c r="G35" s="130" t="n">
        <f aca="false">IFERROR(SUMPRODUCT(MAX(('Fortnite Reload'!$L$11:$L$50=$B35)*'Fortnite Reload'!$F$11:$F$50)),0)</f>
        <v>0</v>
      </c>
      <c r="H35" s="130" t="n">
        <f aca="false">IFERROR(SUMPRODUCT(MAX((Trackmania!$M$11:$M$42=$B35)*Trackmania!$G$11:$G$42)),0)</f>
        <v>0</v>
      </c>
      <c r="I35" s="130" t="n">
        <f aca="false">IFERROR(SUMPRODUCT(MAX(('Dota 2'!$N$11:$N$34=$B35)*'Dota 2'!$H$11:$H$34)),0)</f>
        <v>0</v>
      </c>
      <c r="J35" s="130" t="n">
        <f aca="false">IFERROR(SUMPRODUCT(MAX(('Tekken 8'!$N$11:$N$42=$B35)*'Tekken 8'!$H$11:$H$42)),0)</f>
        <v>0</v>
      </c>
      <c r="K35" s="130" t="n">
        <f aca="false">IFERROR(SUMPRODUCT(MAX(('Street Fighter 6'!$O$11:$O$42=$B35)*'Street Fighter 6'!$I$11:$I$42)),0)</f>
        <v>0</v>
      </c>
      <c r="L35" s="130" t="n">
        <f aca="false">IFERROR(SUMPRODUCT(MAX(('Fatal Fury CotW'!$L$11:$L$42=$B35)*'Fatal Fury CotW'!$F$11:$F$42)),0)</f>
        <v>0</v>
      </c>
      <c r="M35" s="130" t="n">
        <f aca="false">IFERROR(SUMPRODUCT(MAX((TFT!$N$11:$N$26=$B35)*TFT!$H$11:$H$26)),0)</f>
        <v>0</v>
      </c>
      <c r="N35" s="130" t="n">
        <f aca="false">IFERROR(SUMPRODUCT(MAX(('Rainbow Six'!$P$11:$P$32=$B35)*'Rainbow Six'!$J$11:$J$32)),0)</f>
        <v>0</v>
      </c>
      <c r="O35" s="130" t="n">
        <f aca="false">IFERROR(SUMPRODUCT(MAX((Warzone!$M$11:$M$42=$B35)*Warzone!$G$11:$G$42)),0)</f>
        <v>0</v>
      </c>
      <c r="P35" s="130" t="n">
        <f aca="false">IFERROR(SUMPRODUCT(MAX((Valorant!$N$11:$N$26=$B35)*Valorant!$H$11:$H$26)),0)</f>
        <v>0</v>
      </c>
      <c r="Q35" s="130" t="n">
        <f aca="false">IFERROR(SUMPRODUCT(MAX(('MLBB (MSC)'!$M$11:$M$35=$B35)*'MLBB (MSC)'!$G$11:$G$35)),0)</f>
        <v>0</v>
      </c>
      <c r="R35" s="130" t="n">
        <f aca="false">IFERROR(SUMPRODUCT(MAX(('Apex Legends'!$O$11:$O$50=$B35)*'Apex Legends'!$I$11:$I$50)),0)</f>
        <v>0</v>
      </c>
      <c r="S35" s="130" t="n">
        <f aca="false">IFERROR(SUMPRODUCT(MAX(('Honor of Kings'!$N$11:$N$30=$B35)*'Honor of Kings'!$H$11:$H$30)),0)</f>
        <v>500</v>
      </c>
      <c r="T35" s="130" t="n">
        <f aca="false">IFERROR(SUMPRODUCT(MAX((CrossFire!$L$11:$L$26=$B35)*CrossFire!$F$11:$F$26)),0)</f>
        <v>0</v>
      </c>
      <c r="U35" s="130" t="n">
        <f aca="false">IFERROR(SUMPRODUCT(MAX(('Free Fire'!$M$11:$M$34=$B35)*'Free Fire'!$G$11:$G$34)),0)</f>
        <v>0</v>
      </c>
      <c r="V35" s="130" t="n">
        <f aca="false">IFERROR(SUMPRODUCT(MAX(('EA FC 26'!$N$11:$N$46=$B35)*'EA FC 26'!$H$11:$H$46)),0)</f>
        <v>0</v>
      </c>
      <c r="W35" s="130" t="n">
        <f aca="false">IFERROR(SUMPRODUCT(MAX(('Black Ops 7'!$O$11:$O$26=$B35)*'Black Ops 7'!$J$11:$J$26)),0)</f>
        <v>0</v>
      </c>
      <c r="X35" s="130" t="n">
        <f aca="false">IFERROR(SUMPRODUCT(MAX(('Rocket League'!$P$11:$P$26=$B35)*'Rocket League'!$J$11:$J$26)),0)</f>
        <v>0</v>
      </c>
      <c r="Y35" s="130" t="n">
        <f aca="false">IFERROR(SUMPRODUCT(MAX(('Overwatch 2'!$L$11:$L$26=$B35)*'Overwatch 2'!$F$11:$F$26)),0)</f>
        <v>200</v>
      </c>
      <c r="Z35" s="130" t="n">
        <f aca="false">IFERROR(SUMPRODUCT(MAX((PUBG!$L$11:$L$34=$B35)*PUBG!$F$11:$F$34)),0)</f>
        <v>150</v>
      </c>
      <c r="AA35" s="130" t="n">
        <f aca="false">IFERROR(SUMPRODUCT(MAX(('MLBB Women'!$L$11:$L$26=$B35)*'MLBB Women'!$F$11:$F$26)),0)</f>
        <v>0</v>
      </c>
      <c r="AB35" s="130" t="n">
        <f aca="false">SUM(C35:AA35)</f>
        <v>850</v>
      </c>
      <c r="AC35" s="130" t="n">
        <v>850</v>
      </c>
      <c r="AD35" s="200" t="n">
        <f aca="false">AB35-AC35</f>
        <v>0</v>
      </c>
      <c r="AE35" s="82" t="str">
        <f aca="false">IF(AB35=0,"not started",IF(AD35=0,"reconciled",IF(AD35&gt;0,"CHECK NAMES","in progress")))</f>
        <v>reconciled</v>
      </c>
    </row>
    <row r="36" customFormat="false" ht="15" hidden="false" customHeight="true" outlineLevel="0" collapsed="false">
      <c r="B36" s="92" t="s">
        <v>161</v>
      </c>
      <c r="C36" s="130" t="n">
        <f aca="false">IFERROR(SUMIF(CS2!$L$11:$L$42,$B36,CS2!$F$11:$F$42),0)</f>
        <v>0</v>
      </c>
      <c r="D36" s="130" t="n">
        <f aca="false">IFERROR(SUMPRODUCT(MAX((Chess!$L$11:$L$32=$B36)*Chess!$F$11:$F$32)),0)</f>
        <v>200</v>
      </c>
      <c r="E36" s="130" t="n">
        <f aca="false">IFERROR(SUMPRODUCT(MAX((LoL!$L$11:$L$26=$B36)*LoL!$F$11:$F$26)),0)</f>
        <v>500</v>
      </c>
      <c r="F36" s="130" t="n">
        <f aca="false">IFERROR(SUMPRODUCT(MAX(('PUBG Mobile'!$L$11:$L$42=$B36)*'PUBG Mobile'!$F$11:$F$42)),0)</f>
        <v>0</v>
      </c>
      <c r="G36" s="130" t="n">
        <f aca="false">IFERROR(SUMPRODUCT(MAX(('Fortnite Reload'!$L$11:$L$50=$B36)*'Fortnite Reload'!$F$11:$F$50)),0)</f>
        <v>0</v>
      </c>
      <c r="H36" s="130" t="n">
        <f aca="false">IFERROR(SUMPRODUCT(MAX((Trackmania!$M$11:$M$42=$B36)*Trackmania!$G$11:$G$42)),0)</f>
        <v>0</v>
      </c>
      <c r="I36" s="130" t="n">
        <f aca="false">IFERROR(SUMPRODUCT(MAX(('Dota 2'!$N$11:$N$34=$B36)*'Dota 2'!$H$11:$H$34)),0)</f>
        <v>0</v>
      </c>
      <c r="J36" s="130" t="n">
        <f aca="false">IFERROR(SUMPRODUCT(MAX(('Tekken 8'!$N$11:$N$42=$B36)*'Tekken 8'!$H$11:$H$42)),0)</f>
        <v>0</v>
      </c>
      <c r="K36" s="130" t="n">
        <f aca="false">IFERROR(SUMPRODUCT(MAX(('Street Fighter 6'!$O$11:$O$42=$B36)*'Street Fighter 6'!$I$11:$I$42)),0)</f>
        <v>0</v>
      </c>
      <c r="L36" s="130" t="n">
        <f aca="false">IFERROR(SUMPRODUCT(MAX(('Fatal Fury CotW'!$L$11:$L$42=$B36)*'Fatal Fury CotW'!$F$11:$F$42)),0)</f>
        <v>0</v>
      </c>
      <c r="M36" s="130" t="n">
        <f aca="false">IFERROR(SUMPRODUCT(MAX((TFT!$N$11:$N$26=$B36)*TFT!$H$11:$H$26)),0)</f>
        <v>0</v>
      </c>
      <c r="N36" s="130" t="n">
        <f aca="false">IFERROR(SUMPRODUCT(MAX(('Rainbow Six'!$P$11:$P$32=$B36)*'Rainbow Six'!$J$11:$J$32)),0)</f>
        <v>0</v>
      </c>
      <c r="O36" s="130" t="n">
        <f aca="false">IFERROR(SUMPRODUCT(MAX((Warzone!$M$11:$M$42=$B36)*Warzone!$G$11:$G$42)),0)</f>
        <v>0</v>
      </c>
      <c r="P36" s="130" t="n">
        <f aca="false">IFERROR(SUMPRODUCT(MAX((Valorant!$N$11:$N$26=$B36)*Valorant!$H$11:$H$26)),0)</f>
        <v>0</v>
      </c>
      <c r="Q36" s="130" t="n">
        <f aca="false">IFERROR(SUMPRODUCT(MAX(('MLBB (MSC)'!$M$11:$M$35=$B36)*'MLBB (MSC)'!$G$11:$G$35)),0)</f>
        <v>0</v>
      </c>
      <c r="R36" s="130" t="n">
        <f aca="false">IFERROR(SUMPRODUCT(MAX(('Apex Legends'!$O$11:$O$50=$B36)*'Apex Legends'!$I$11:$I$50)),0)</f>
        <v>0</v>
      </c>
      <c r="S36" s="130" t="n">
        <f aca="false">IFERROR(SUMPRODUCT(MAX(('Honor of Kings'!$N$11:$N$30=$B36)*'Honor of Kings'!$H$11:$H$30)),0)</f>
        <v>0</v>
      </c>
      <c r="T36" s="130" t="n">
        <f aca="false">IFERROR(SUMPRODUCT(MAX((CrossFire!$L$11:$L$26=$B36)*CrossFire!$F$11:$F$26)),0)</f>
        <v>0</v>
      </c>
      <c r="U36" s="130" t="n">
        <f aca="false">IFERROR(SUMPRODUCT(MAX(('Free Fire'!$M$11:$M$34=$B36)*'Free Fire'!$G$11:$G$34)),0)</f>
        <v>0</v>
      </c>
      <c r="V36" s="130" t="n">
        <f aca="false">IFERROR(SUMPRODUCT(MAX(('EA FC 26'!$N$11:$N$46=$B36)*'EA FC 26'!$H$11:$H$46)),0)</f>
        <v>0</v>
      </c>
      <c r="W36" s="130" t="n">
        <f aca="false">IFERROR(SUMPRODUCT(MAX(('Black Ops 7'!$O$11:$O$26=$B36)*'Black Ops 7'!$J$11:$J$26)),0)</f>
        <v>0</v>
      </c>
      <c r="X36" s="130" t="n">
        <f aca="false">IFERROR(SUMPRODUCT(MAX(('Rocket League'!$P$11:$P$26=$B36)*'Rocket League'!$J$11:$J$26)),0)</f>
        <v>0</v>
      </c>
      <c r="Y36" s="130" t="n">
        <f aca="false">IFERROR(SUMPRODUCT(MAX(('Overwatch 2'!$L$11:$L$26=$B36)*'Overwatch 2'!$F$11:$F$26)),0)</f>
        <v>0</v>
      </c>
      <c r="Z36" s="130" t="n">
        <f aca="false">IFERROR(SUMPRODUCT(MAX((PUBG!$L$11:$L$34=$B36)*PUBG!$F$11:$F$34)),0)</f>
        <v>100</v>
      </c>
      <c r="AA36" s="130" t="n">
        <f aca="false">IFERROR(SUMPRODUCT(MAX(('MLBB Women'!$L$11:$L$26=$B36)*'MLBB Women'!$F$11:$F$26)),0)</f>
        <v>0</v>
      </c>
      <c r="AB36" s="130" t="n">
        <f aca="false">SUM(C36:AA36)</f>
        <v>800</v>
      </c>
      <c r="AC36" s="130" t="n">
        <v>800</v>
      </c>
      <c r="AD36" s="200" t="n">
        <f aca="false">AB36-AC36</f>
        <v>0</v>
      </c>
      <c r="AE36" s="82" t="str">
        <f aca="false">IF(AB36=0,"not started",IF(AD36=0,"reconciled",IF(AD36&gt;0,"CHECK NAMES","in progress")))</f>
        <v>reconciled</v>
      </c>
    </row>
    <row r="37" customFormat="false" ht="15" hidden="false" customHeight="true" outlineLevel="0" collapsed="false">
      <c r="B37" s="92" t="s">
        <v>218</v>
      </c>
      <c r="C37" s="130" t="n">
        <f aca="false">IFERROR(SUMIF(CS2!$L$11:$L$42,$B37,CS2!$F$11:$F$42),0)</f>
        <v>0</v>
      </c>
      <c r="D37" s="130" t="n">
        <f aca="false">IFERROR(SUMPRODUCT(MAX((Chess!$L$11:$L$32=$B37)*Chess!$F$11:$F$32)),0)</f>
        <v>0</v>
      </c>
      <c r="E37" s="130" t="n">
        <f aca="false">IFERROR(SUMPRODUCT(MAX((LoL!$L$11:$L$26=$B37)*LoL!$F$11:$F$26)),0)</f>
        <v>0</v>
      </c>
      <c r="F37" s="130" t="n">
        <f aca="false">IFERROR(SUMPRODUCT(MAX(('PUBG Mobile'!$L$11:$L$42=$B37)*'PUBG Mobile'!$F$11:$F$42)),0)</f>
        <v>0</v>
      </c>
      <c r="G37" s="130" t="n">
        <f aca="false">IFERROR(SUMPRODUCT(MAX(('Fortnite Reload'!$L$11:$L$50=$B37)*'Fortnite Reload'!$F$11:$F$50)),0)</f>
        <v>0</v>
      </c>
      <c r="H37" s="130" t="n">
        <f aca="false">IFERROR(SUMPRODUCT(MAX((Trackmania!$M$11:$M$42=$B37)*Trackmania!$G$11:$G$42)),0)</f>
        <v>0</v>
      </c>
      <c r="I37" s="130" t="n">
        <f aca="false">IFERROR(SUMPRODUCT(MAX(('Dota 2'!$N$11:$N$34=$B37)*'Dota 2'!$H$11:$H$34)),0)</f>
        <v>0</v>
      </c>
      <c r="J37" s="130" t="n">
        <f aca="false">IFERROR(SUMPRODUCT(MAX(('Tekken 8'!$N$11:$N$42=$B37)*'Tekken 8'!$H$11:$H$42)),0)</f>
        <v>0</v>
      </c>
      <c r="K37" s="130" t="n">
        <f aca="false">IFERROR(SUMPRODUCT(MAX(('Street Fighter 6'!$O$11:$O$42=$B37)*'Street Fighter 6'!$I$11:$I$42)),0)</f>
        <v>0</v>
      </c>
      <c r="L37" s="130" t="n">
        <f aca="false">IFERROR(SUMPRODUCT(MAX(('Fatal Fury CotW'!$L$11:$L$42=$B37)*'Fatal Fury CotW'!$F$11:$F$42)),0)</f>
        <v>0</v>
      </c>
      <c r="M37" s="130" t="n">
        <f aca="false">IFERROR(SUMPRODUCT(MAX((TFT!$N$11:$N$26=$B37)*TFT!$H$11:$H$26)),0)</f>
        <v>0</v>
      </c>
      <c r="N37" s="130" t="n">
        <f aca="false">IFERROR(SUMPRODUCT(MAX(('Rainbow Six'!$P$11:$P$32=$B37)*'Rainbow Six'!$J$11:$J$32)),0)</f>
        <v>0</v>
      </c>
      <c r="O37" s="130" t="n">
        <f aca="false">IFERROR(SUMPRODUCT(MAX((Warzone!$M$11:$M$42=$B37)*Warzone!$G$11:$G$42)),0)</f>
        <v>200</v>
      </c>
      <c r="P37" s="130" t="n">
        <f aca="false">IFERROR(SUMPRODUCT(MAX((Valorant!$N$11:$N$26=$B37)*Valorant!$H$11:$H$26)),0)</f>
        <v>200</v>
      </c>
      <c r="Q37" s="130" t="n">
        <f aca="false">IFERROR(SUMPRODUCT(MAX(('MLBB (MSC)'!$M$11:$M$35=$B37)*'MLBB (MSC)'!$G$11:$G$35)),0)</f>
        <v>0</v>
      </c>
      <c r="R37" s="130" t="n">
        <f aca="false">IFERROR(SUMPRODUCT(MAX(('Apex Legends'!$O$11:$O$50=$B37)*'Apex Legends'!$I$11:$I$50)),0)</f>
        <v>0</v>
      </c>
      <c r="S37" s="130" t="n">
        <f aca="false">IFERROR(SUMPRODUCT(MAX(('Honor of Kings'!$N$11:$N$30=$B37)*'Honor of Kings'!$H$11:$H$30)),0)</f>
        <v>0</v>
      </c>
      <c r="T37" s="130" t="n">
        <f aca="false">IFERROR(SUMPRODUCT(MAX((CrossFire!$L$11:$L$26=$B37)*CrossFire!$F$11:$F$26)),0)</f>
        <v>0</v>
      </c>
      <c r="U37" s="130" t="n">
        <f aca="false">IFERROR(SUMPRODUCT(MAX(('Free Fire'!$M$11:$M$34=$B37)*'Free Fire'!$G$11:$G$34)),0)</f>
        <v>0</v>
      </c>
      <c r="V37" s="130" t="n">
        <f aca="false">IFERROR(SUMPRODUCT(MAX(('EA FC 26'!$N$11:$N$46=$B37)*'EA FC 26'!$H$11:$H$46)),0)</f>
        <v>0</v>
      </c>
      <c r="W37" s="130" t="n">
        <f aca="false">IFERROR(SUMPRODUCT(MAX(('Black Ops 7'!$O$11:$O$26=$B37)*'Black Ops 7'!$J$11:$J$26)),0)</f>
        <v>200</v>
      </c>
      <c r="X37" s="130" t="n">
        <f aca="false">IFERROR(SUMPRODUCT(MAX(('Rocket League'!$P$11:$P$26=$B37)*'Rocket League'!$J$11:$J$26)),0)</f>
        <v>200</v>
      </c>
      <c r="Y37" s="130" t="n">
        <f aca="false">IFERROR(SUMPRODUCT(MAX(('Overwatch 2'!$L$11:$L$26=$B37)*'Overwatch 2'!$F$11:$F$26)),0)</f>
        <v>0</v>
      </c>
      <c r="Z37" s="130" t="n">
        <f aca="false">IFERROR(SUMPRODUCT(MAX((PUBG!$L$11:$L$34=$B37)*PUBG!$F$11:$F$34)),0)</f>
        <v>0</v>
      </c>
      <c r="AA37" s="130" t="n">
        <f aca="false">IFERROR(SUMPRODUCT(MAX(('MLBB Women'!$L$11:$L$26=$B37)*'MLBB Women'!$F$11:$F$26)),0)</f>
        <v>0</v>
      </c>
      <c r="AB37" s="130" t="n">
        <f aca="false">SUM(C37:AA37)</f>
        <v>800</v>
      </c>
      <c r="AC37" s="130" t="n">
        <v>800</v>
      </c>
      <c r="AD37" s="200" t="n">
        <f aca="false">AB37-AC37</f>
        <v>0</v>
      </c>
      <c r="AE37" s="82" t="str">
        <f aca="false">IF(AB37=0,"not started",IF(AD37=0,"reconciled",IF(AD37&gt;0,"CHECK NAMES","in progress")))</f>
        <v>reconciled</v>
      </c>
    </row>
    <row r="38" customFormat="false" ht="15" hidden="false" customHeight="true" outlineLevel="0" collapsed="false">
      <c r="B38" s="92" t="s">
        <v>184</v>
      </c>
      <c r="C38" s="130" t="n">
        <f aca="false">IFERROR(SUMIF(CS2!$L$11:$L$42,$B38,CS2!$F$11:$F$42),0)</f>
        <v>750</v>
      </c>
      <c r="D38" s="130" t="n">
        <f aca="false">IFERROR(SUMPRODUCT(MAX((Chess!$L$11:$L$32=$B38)*Chess!$F$11:$F$32)),0)</f>
        <v>0</v>
      </c>
      <c r="E38" s="130" t="n">
        <f aca="false">IFERROR(SUMPRODUCT(MAX((LoL!$L$11:$L$26=$B38)*LoL!$F$11:$F$26)),0)</f>
        <v>0</v>
      </c>
      <c r="F38" s="130" t="n">
        <f aca="false">IFERROR(SUMPRODUCT(MAX(('PUBG Mobile'!$L$11:$L$42=$B38)*'PUBG Mobile'!$F$11:$F$42)),0)</f>
        <v>0</v>
      </c>
      <c r="G38" s="130" t="n">
        <f aca="false">IFERROR(SUMPRODUCT(MAX(('Fortnite Reload'!$L$11:$L$50=$B38)*'Fortnite Reload'!$F$11:$F$50)),0)</f>
        <v>0</v>
      </c>
      <c r="H38" s="130" t="n">
        <f aca="false">IFERROR(SUMPRODUCT(MAX((Trackmania!$M$11:$M$42=$B38)*Trackmania!$G$11:$G$42)),0)</f>
        <v>0</v>
      </c>
      <c r="I38" s="130" t="n">
        <f aca="false">IFERROR(SUMPRODUCT(MAX(('Dota 2'!$N$11:$N$34=$B38)*'Dota 2'!$H$11:$H$34)),0)</f>
        <v>0</v>
      </c>
      <c r="J38" s="130" t="n">
        <f aca="false">IFERROR(SUMPRODUCT(MAX(('Tekken 8'!$N$11:$N$42=$B38)*'Tekken 8'!$H$11:$H$42)),0)</f>
        <v>0</v>
      </c>
      <c r="K38" s="130" t="n">
        <f aca="false">IFERROR(SUMPRODUCT(MAX(('Street Fighter 6'!$O$11:$O$42=$B38)*'Street Fighter 6'!$I$11:$I$42)),0)</f>
        <v>0</v>
      </c>
      <c r="L38" s="130" t="n">
        <f aca="false">IFERROR(SUMPRODUCT(MAX(('Fatal Fury CotW'!$L$11:$L$42=$B38)*'Fatal Fury CotW'!$F$11:$F$42)),0)</f>
        <v>0</v>
      </c>
      <c r="M38" s="130" t="n">
        <f aca="false">IFERROR(SUMPRODUCT(MAX((TFT!$N$11:$N$26=$B38)*TFT!$H$11:$H$26)),0)</f>
        <v>0</v>
      </c>
      <c r="N38" s="130" t="n">
        <f aca="false">IFERROR(SUMPRODUCT(MAX(('Rainbow Six'!$P$11:$P$32=$B38)*'Rainbow Six'!$J$11:$J$32)),0)</f>
        <v>0</v>
      </c>
      <c r="O38" s="130" t="n">
        <f aca="false">IFERROR(SUMPRODUCT(MAX((Warzone!$M$11:$M$42=$B38)*Warzone!$G$11:$G$42)),0)</f>
        <v>0</v>
      </c>
      <c r="P38" s="130" t="n">
        <f aca="false">IFERROR(SUMPRODUCT(MAX((Valorant!$N$11:$N$26=$B38)*Valorant!$H$11:$H$26)),0)</f>
        <v>0</v>
      </c>
      <c r="Q38" s="130" t="n">
        <f aca="false">IFERROR(SUMPRODUCT(MAX(('MLBB (MSC)'!$M$11:$M$35=$B38)*'MLBB (MSC)'!$G$11:$G$35)),0)</f>
        <v>0</v>
      </c>
      <c r="R38" s="130" t="n">
        <f aca="false">IFERROR(SUMPRODUCT(MAX(('Apex Legends'!$O$11:$O$50=$B38)*'Apex Legends'!$I$11:$I$50)),0)</f>
        <v>0</v>
      </c>
      <c r="S38" s="130" t="n">
        <f aca="false">IFERROR(SUMPRODUCT(MAX(('Honor of Kings'!$N$11:$N$30=$B38)*'Honor of Kings'!$H$11:$H$30)),0)</f>
        <v>0</v>
      </c>
      <c r="T38" s="130" t="n">
        <f aca="false">IFERROR(SUMPRODUCT(MAX((CrossFire!$L$11:$L$26=$B38)*CrossFire!$F$11:$F$26)),0)</f>
        <v>0</v>
      </c>
      <c r="U38" s="130" t="n">
        <f aca="false">IFERROR(SUMPRODUCT(MAX(('Free Fire'!$M$11:$M$34=$B38)*'Free Fire'!$G$11:$G$34)),0)</f>
        <v>0</v>
      </c>
      <c r="V38" s="130" t="n">
        <f aca="false">IFERROR(SUMPRODUCT(MAX(('EA FC 26'!$N$11:$N$46=$B38)*'EA FC 26'!$H$11:$H$46)),0)</f>
        <v>0</v>
      </c>
      <c r="W38" s="130" t="n">
        <f aca="false">IFERROR(SUMPRODUCT(MAX(('Black Ops 7'!$O$11:$O$26=$B38)*'Black Ops 7'!$J$11:$J$26)),0)</f>
        <v>0</v>
      </c>
      <c r="X38" s="130" t="n">
        <f aca="false">IFERROR(SUMPRODUCT(MAX(('Rocket League'!$P$11:$P$26=$B38)*'Rocket League'!$J$11:$J$26)),0)</f>
        <v>0</v>
      </c>
      <c r="Y38" s="130" t="n">
        <f aca="false">IFERROR(SUMPRODUCT(MAX(('Overwatch 2'!$L$11:$L$26=$B38)*'Overwatch 2'!$F$11:$F$26)),0)</f>
        <v>0</v>
      </c>
      <c r="Z38" s="130" t="n">
        <f aca="false">IFERROR(SUMPRODUCT(MAX((PUBG!$L$11:$L$34=$B38)*PUBG!$F$11:$F$34)),0)</f>
        <v>0</v>
      </c>
      <c r="AA38" s="130" t="n">
        <f aca="false">IFERROR(SUMPRODUCT(MAX(('MLBB Women'!$L$11:$L$26=$B38)*'MLBB Women'!$F$11:$F$26)),0)</f>
        <v>0</v>
      </c>
      <c r="AB38" s="130" t="n">
        <f aca="false">SUM(C38:AA38)</f>
        <v>750</v>
      </c>
      <c r="AC38" s="130" t="n">
        <v>750</v>
      </c>
      <c r="AD38" s="200" t="n">
        <f aca="false">AB38-AC38</f>
        <v>0</v>
      </c>
      <c r="AE38" s="82" t="str">
        <f aca="false">IF(AB38=0,"not started",IF(AD38=0,"reconciled",IF(AD38&gt;0,"CHECK NAMES","in progress")))</f>
        <v>reconciled</v>
      </c>
    </row>
    <row r="39" customFormat="false" ht="15" hidden="false" customHeight="true" outlineLevel="0" collapsed="false">
      <c r="B39" s="92" t="s">
        <v>296</v>
      </c>
      <c r="C39" s="130" t="n">
        <f aca="false">IFERROR(SUMIF(CS2!$L$11:$L$42,$B39,CS2!$F$11:$F$42),0)</f>
        <v>0</v>
      </c>
      <c r="D39" s="130" t="n">
        <f aca="false">IFERROR(SUMPRODUCT(MAX((Chess!$L$11:$L$32=$B39)*Chess!$F$11:$F$32)),0)</f>
        <v>0</v>
      </c>
      <c r="E39" s="130" t="n">
        <f aca="false">IFERROR(SUMPRODUCT(MAX((LoL!$L$11:$L$26=$B39)*LoL!$F$11:$F$26)),0)</f>
        <v>0</v>
      </c>
      <c r="F39" s="130" t="n">
        <f aca="false">IFERROR(SUMPRODUCT(MAX(('PUBG Mobile'!$L$11:$L$42=$B39)*'PUBG Mobile'!$F$11:$F$42)),0)</f>
        <v>0</v>
      </c>
      <c r="G39" s="130" t="n">
        <f aca="false">IFERROR(SUMPRODUCT(MAX(('Fortnite Reload'!$L$11:$L$50=$B39)*'Fortnite Reload'!$F$11:$F$50)),0)</f>
        <v>0</v>
      </c>
      <c r="H39" s="130" t="n">
        <f aca="false">IFERROR(SUMPRODUCT(MAX((Trackmania!$M$11:$M$42=$B39)*Trackmania!$G$11:$G$42)),0)</f>
        <v>0</v>
      </c>
      <c r="I39" s="130" t="n">
        <f aca="false">IFERROR(SUMPRODUCT(MAX(('Dota 2'!$N$11:$N$34=$B39)*'Dota 2'!$H$11:$H$34)),0)</f>
        <v>0</v>
      </c>
      <c r="J39" s="130" t="n">
        <f aca="false">IFERROR(SUMPRODUCT(MAX(('Tekken 8'!$N$11:$N$42=$B39)*'Tekken 8'!$H$11:$H$42)),0)</f>
        <v>0</v>
      </c>
      <c r="K39" s="130" t="n">
        <f aca="false">IFERROR(SUMPRODUCT(MAX(('Street Fighter 6'!$O$11:$O$42=$B39)*'Street Fighter 6'!$I$11:$I$42)),0)</f>
        <v>0</v>
      </c>
      <c r="L39" s="130" t="n">
        <f aca="false">IFERROR(SUMPRODUCT(MAX(('Fatal Fury CotW'!$L$11:$L$42=$B39)*'Fatal Fury CotW'!$F$11:$F$42)),0)</f>
        <v>0</v>
      </c>
      <c r="M39" s="130" t="n">
        <f aca="false">IFERROR(SUMPRODUCT(MAX((TFT!$N$11:$N$26=$B39)*TFT!$H$11:$H$26)),0)</f>
        <v>0</v>
      </c>
      <c r="N39" s="130" t="n">
        <f aca="false">IFERROR(SUMPRODUCT(MAX(('Rainbow Six'!$P$11:$P$32=$B39)*'Rainbow Six'!$J$11:$J$32)),0)</f>
        <v>0</v>
      </c>
      <c r="O39" s="130" t="n">
        <f aca="false">IFERROR(SUMPRODUCT(MAX((Warzone!$M$11:$M$42=$B39)*Warzone!$G$11:$G$42)),0)</f>
        <v>0</v>
      </c>
      <c r="P39" s="130" t="n">
        <f aca="false">IFERROR(SUMPRODUCT(MAX((Valorant!$N$11:$N$26=$B39)*Valorant!$H$11:$H$26)),0)</f>
        <v>750</v>
      </c>
      <c r="Q39" s="130" t="n">
        <f aca="false">IFERROR(SUMPRODUCT(MAX(('MLBB (MSC)'!$M$11:$M$35=$B39)*'MLBB (MSC)'!$G$11:$G$35)),0)</f>
        <v>0</v>
      </c>
      <c r="R39" s="130" t="n">
        <f aca="false">IFERROR(SUMPRODUCT(MAX(('Apex Legends'!$O$11:$O$50=$B39)*'Apex Legends'!$I$11:$I$50)),0)</f>
        <v>0</v>
      </c>
      <c r="S39" s="130" t="n">
        <f aca="false">IFERROR(SUMPRODUCT(MAX(('Honor of Kings'!$N$11:$N$30=$B39)*'Honor of Kings'!$H$11:$H$30)),0)</f>
        <v>0</v>
      </c>
      <c r="T39" s="130" t="n">
        <f aca="false">IFERROR(SUMPRODUCT(MAX((CrossFire!$L$11:$L$26=$B39)*CrossFire!$F$11:$F$26)),0)</f>
        <v>0</v>
      </c>
      <c r="U39" s="130" t="n">
        <f aca="false">IFERROR(SUMPRODUCT(MAX(('Free Fire'!$M$11:$M$34=$B39)*'Free Fire'!$G$11:$G$34)),0)</f>
        <v>0</v>
      </c>
      <c r="V39" s="130" t="n">
        <f aca="false">IFERROR(SUMPRODUCT(MAX(('EA FC 26'!$N$11:$N$46=$B39)*'EA FC 26'!$H$11:$H$46)),0)</f>
        <v>0</v>
      </c>
      <c r="W39" s="130" t="n">
        <f aca="false">IFERROR(SUMPRODUCT(MAX(('Black Ops 7'!$O$11:$O$26=$B39)*'Black Ops 7'!$J$11:$J$26)),0)</f>
        <v>0</v>
      </c>
      <c r="X39" s="130" t="n">
        <f aca="false">IFERROR(SUMPRODUCT(MAX(('Rocket League'!$P$11:$P$26=$B39)*'Rocket League'!$J$11:$J$26)),0)</f>
        <v>0</v>
      </c>
      <c r="Y39" s="130" t="n">
        <f aca="false">IFERROR(SUMPRODUCT(MAX(('Overwatch 2'!$L$11:$L$26=$B39)*'Overwatch 2'!$F$11:$F$26)),0)</f>
        <v>0</v>
      </c>
      <c r="Z39" s="130" t="n">
        <f aca="false">IFERROR(SUMPRODUCT(MAX((PUBG!$L$11:$L$34=$B39)*PUBG!$F$11:$F$34)),0)</f>
        <v>0</v>
      </c>
      <c r="AA39" s="130" t="n">
        <f aca="false">IFERROR(SUMPRODUCT(MAX(('MLBB Women'!$L$11:$L$26=$B39)*'MLBB Women'!$F$11:$F$26)),0)</f>
        <v>0</v>
      </c>
      <c r="AB39" s="130" t="n">
        <f aca="false">SUM(C39:AA39)</f>
        <v>750</v>
      </c>
      <c r="AC39" s="130" t="n">
        <v>750</v>
      </c>
      <c r="AD39" s="200" t="n">
        <f aca="false">AB39-AC39</f>
        <v>0</v>
      </c>
      <c r="AE39" s="82" t="str">
        <f aca="false">IF(AB39=0,"not started",IF(AD39=0,"reconciled",IF(AD39&gt;0,"CHECK NAMES","in progress")))</f>
        <v>reconciled</v>
      </c>
    </row>
    <row r="40" customFormat="false" ht="15" hidden="false" customHeight="true" outlineLevel="0" collapsed="false">
      <c r="B40" s="92" t="s">
        <v>346</v>
      </c>
      <c r="C40" s="130" t="n">
        <f aca="false">IFERROR(SUMIF(CS2!$L$11:$L$42,$B40,CS2!$F$11:$F$42),0)</f>
        <v>0</v>
      </c>
      <c r="D40" s="130" t="n">
        <f aca="false">IFERROR(SUMPRODUCT(MAX((Chess!$L$11:$L$32=$B40)*Chess!$F$11:$F$32)),0)</f>
        <v>0</v>
      </c>
      <c r="E40" s="130" t="n">
        <f aca="false">IFERROR(SUMPRODUCT(MAX((LoL!$L$11:$L$26=$B40)*LoL!$F$11:$F$26)),0)</f>
        <v>0</v>
      </c>
      <c r="F40" s="130" t="n">
        <f aca="false">IFERROR(SUMPRODUCT(MAX(('PUBG Mobile'!$L$11:$L$42=$B40)*'PUBG Mobile'!$F$11:$F$42)),0)</f>
        <v>0</v>
      </c>
      <c r="G40" s="130" t="n">
        <f aca="false">IFERROR(SUMPRODUCT(MAX(('Fortnite Reload'!$L$11:$L$50=$B40)*'Fortnite Reload'!$F$11:$F$50)),0)</f>
        <v>0</v>
      </c>
      <c r="H40" s="130" t="n">
        <f aca="false">IFERROR(SUMPRODUCT(MAX((Trackmania!$M$11:$M$42=$B40)*Trackmania!$G$11:$G$42)),0)</f>
        <v>0</v>
      </c>
      <c r="I40" s="130" t="n">
        <f aca="false">IFERROR(SUMPRODUCT(MAX(('Dota 2'!$N$11:$N$34=$B40)*'Dota 2'!$H$11:$H$34)),0)</f>
        <v>750</v>
      </c>
      <c r="J40" s="130" t="n">
        <f aca="false">IFERROR(SUMPRODUCT(MAX(('Tekken 8'!$N$11:$N$42=$B40)*'Tekken 8'!$H$11:$H$42)),0)</f>
        <v>0</v>
      </c>
      <c r="K40" s="130" t="n">
        <f aca="false">IFERROR(SUMPRODUCT(MAX(('Street Fighter 6'!$O$11:$O$42=$B40)*'Street Fighter 6'!$I$11:$I$42)),0)</f>
        <v>0</v>
      </c>
      <c r="L40" s="130" t="n">
        <f aca="false">IFERROR(SUMPRODUCT(MAX(('Fatal Fury CotW'!$L$11:$L$42=$B40)*'Fatal Fury CotW'!$F$11:$F$42)),0)</f>
        <v>0</v>
      </c>
      <c r="M40" s="130" t="n">
        <f aca="false">IFERROR(SUMPRODUCT(MAX((TFT!$N$11:$N$26=$B40)*TFT!$H$11:$H$26)),0)</f>
        <v>0</v>
      </c>
      <c r="N40" s="130" t="n">
        <f aca="false">IFERROR(SUMPRODUCT(MAX(('Rainbow Six'!$P$11:$P$32=$B40)*'Rainbow Six'!$J$11:$J$32)),0)</f>
        <v>0</v>
      </c>
      <c r="O40" s="130" t="n">
        <f aca="false">IFERROR(SUMPRODUCT(MAX((Warzone!$M$11:$M$42=$B40)*Warzone!$G$11:$G$42)),0)</f>
        <v>0</v>
      </c>
      <c r="P40" s="130" t="n">
        <f aca="false">IFERROR(SUMPRODUCT(MAX((Valorant!$N$11:$N$26=$B40)*Valorant!$H$11:$H$26)),0)</f>
        <v>0</v>
      </c>
      <c r="Q40" s="130" t="n">
        <f aca="false">IFERROR(SUMPRODUCT(MAX(('MLBB (MSC)'!$M$11:$M$35=$B40)*'MLBB (MSC)'!$G$11:$G$35)),0)</f>
        <v>0</v>
      </c>
      <c r="R40" s="130" t="n">
        <f aca="false">IFERROR(SUMPRODUCT(MAX(('Apex Legends'!$O$11:$O$50=$B40)*'Apex Legends'!$I$11:$I$50)),0)</f>
        <v>0</v>
      </c>
      <c r="S40" s="130" t="n">
        <f aca="false">IFERROR(SUMPRODUCT(MAX(('Honor of Kings'!$N$11:$N$30=$B40)*'Honor of Kings'!$H$11:$H$30)),0)</f>
        <v>0</v>
      </c>
      <c r="T40" s="130" t="n">
        <f aca="false">IFERROR(SUMPRODUCT(MAX((CrossFire!$L$11:$L$26=$B40)*CrossFire!$F$11:$F$26)),0)</f>
        <v>0</v>
      </c>
      <c r="U40" s="130" t="n">
        <f aca="false">IFERROR(SUMPRODUCT(MAX(('Free Fire'!$M$11:$M$34=$B40)*'Free Fire'!$G$11:$G$34)),0)</f>
        <v>0</v>
      </c>
      <c r="V40" s="130" t="n">
        <f aca="false">IFERROR(SUMPRODUCT(MAX(('EA FC 26'!$N$11:$N$46=$B40)*'EA FC 26'!$H$11:$H$46)),0)</f>
        <v>0</v>
      </c>
      <c r="W40" s="130" t="n">
        <f aca="false">IFERROR(SUMPRODUCT(MAX(('Black Ops 7'!$O$11:$O$26=$B40)*'Black Ops 7'!$J$11:$J$26)),0)</f>
        <v>0</v>
      </c>
      <c r="X40" s="130" t="n">
        <f aca="false">IFERROR(SUMPRODUCT(MAX(('Rocket League'!$P$11:$P$26=$B40)*'Rocket League'!$J$11:$J$26)),0)</f>
        <v>0</v>
      </c>
      <c r="Y40" s="130" t="n">
        <f aca="false">IFERROR(SUMPRODUCT(MAX(('Overwatch 2'!$L$11:$L$26=$B40)*'Overwatch 2'!$F$11:$F$26)),0)</f>
        <v>0</v>
      </c>
      <c r="Z40" s="130" t="n">
        <f aca="false">IFERROR(SUMPRODUCT(MAX((PUBG!$L$11:$L$34=$B40)*PUBG!$F$11:$F$34)),0)</f>
        <v>0</v>
      </c>
      <c r="AA40" s="130" t="n">
        <f aca="false">IFERROR(SUMPRODUCT(MAX(('MLBB Women'!$L$11:$L$26=$B40)*'MLBB Women'!$F$11:$F$26)),0)</f>
        <v>0</v>
      </c>
      <c r="AB40" s="130" t="n">
        <f aca="false">SUM(C40:AA40)</f>
        <v>750</v>
      </c>
      <c r="AC40" s="130" t="n">
        <v>750</v>
      </c>
      <c r="AD40" s="200" t="n">
        <f aca="false">AB40-AC40</f>
        <v>0</v>
      </c>
      <c r="AE40" s="82" t="str">
        <f aca="false">IF(AB40=0,"not started",IF(AD40=0,"reconciled",IF(AD40&gt;0,"CHECK NAMES","in progress")))</f>
        <v>reconciled</v>
      </c>
    </row>
    <row r="41" customFormat="false" ht="15" hidden="false" customHeight="true" outlineLevel="0" collapsed="false">
      <c r="B41" s="92" t="s">
        <v>169</v>
      </c>
      <c r="C41" s="130" t="n">
        <f aca="false">IFERROR(SUMIF(CS2!$L$11:$L$42,$B41,CS2!$F$11:$F$42),0)</f>
        <v>0</v>
      </c>
      <c r="D41" s="130" t="n">
        <f aca="false">IFERROR(SUMPRODUCT(MAX((Chess!$L$11:$L$32=$B41)*Chess!$F$11:$F$32)),0)</f>
        <v>0</v>
      </c>
      <c r="E41" s="130" t="n">
        <f aca="false">IFERROR(SUMPRODUCT(MAX((LoL!$L$11:$L$26=$B41)*LoL!$F$11:$F$26)),0)</f>
        <v>0</v>
      </c>
      <c r="F41" s="130" t="n">
        <f aca="false">IFERROR(SUMPRODUCT(MAX(('PUBG Mobile'!$L$11:$L$42=$B41)*'PUBG Mobile'!$F$11:$F$42)),0)</f>
        <v>0</v>
      </c>
      <c r="G41" s="130" t="n">
        <f aca="false">IFERROR(SUMPRODUCT(MAX(('Fortnite Reload'!$L$11:$L$50=$B41)*'Fortnite Reload'!$F$11:$F$50)),0)</f>
        <v>0</v>
      </c>
      <c r="H41" s="130" t="n">
        <f aca="false">IFERROR(SUMPRODUCT(MAX((Trackmania!$M$11:$M$42=$B41)*Trackmania!$G$11:$G$42)),0)</f>
        <v>0</v>
      </c>
      <c r="I41" s="130" t="n">
        <f aca="false">IFERROR(SUMPRODUCT(MAX(('Dota 2'!$N$11:$N$34=$B41)*'Dota 2'!$H$11:$H$34)),0)</f>
        <v>0</v>
      </c>
      <c r="J41" s="130" t="n">
        <f aca="false">IFERROR(SUMPRODUCT(MAX(('Tekken 8'!$N$11:$N$42=$B41)*'Tekken 8'!$H$11:$H$42)),0)</f>
        <v>0</v>
      </c>
      <c r="K41" s="130" t="n">
        <f aca="false">IFERROR(SUMPRODUCT(MAX(('Street Fighter 6'!$O$11:$O$42=$B41)*'Street Fighter 6'!$I$11:$I$42)),0)</f>
        <v>0</v>
      </c>
      <c r="L41" s="130" t="n">
        <f aca="false">IFERROR(SUMPRODUCT(MAX(('Fatal Fury CotW'!$L$11:$L$42=$B41)*'Fatal Fury CotW'!$F$11:$F$42)),0)</f>
        <v>0</v>
      </c>
      <c r="M41" s="130" t="n">
        <f aca="false">IFERROR(SUMPRODUCT(MAX((TFT!$N$11:$N$26=$B41)*TFT!$H$11:$H$26)),0)</f>
        <v>0</v>
      </c>
      <c r="N41" s="130" t="n">
        <f aca="false">IFERROR(SUMPRODUCT(MAX(('Rainbow Six'!$P$11:$P$32=$B41)*'Rainbow Six'!$J$11:$J$32)),0)</f>
        <v>0</v>
      </c>
      <c r="O41" s="130" t="n">
        <f aca="false">IFERROR(SUMPRODUCT(MAX((Warzone!$M$11:$M$42=$B41)*Warzone!$G$11:$G$42)),0)</f>
        <v>0</v>
      </c>
      <c r="P41" s="130" t="n">
        <f aca="false">IFERROR(SUMPRODUCT(MAX((Valorant!$N$11:$N$26=$B41)*Valorant!$H$11:$H$26)),0)</f>
        <v>0</v>
      </c>
      <c r="Q41" s="130" t="n">
        <f aca="false">IFERROR(SUMPRODUCT(MAX(('MLBB (MSC)'!$M$11:$M$35=$B41)*'MLBB (MSC)'!$G$11:$G$35)),0)</f>
        <v>0</v>
      </c>
      <c r="R41" s="130" t="n">
        <f aca="false">IFERROR(SUMPRODUCT(MAX(('Apex Legends'!$O$11:$O$50=$B41)*'Apex Legends'!$I$11:$I$50)),0)</f>
        <v>0</v>
      </c>
      <c r="S41" s="130" t="n">
        <f aca="false">IFERROR(SUMPRODUCT(MAX(('Honor of Kings'!$N$11:$N$30=$B41)*'Honor of Kings'!$H$11:$H$30)),0)</f>
        <v>0</v>
      </c>
      <c r="T41" s="130" t="n">
        <f aca="false">IFERROR(SUMPRODUCT(MAX((CrossFire!$L$11:$L$26=$B41)*CrossFire!$F$11:$F$26)),0)</f>
        <v>0</v>
      </c>
      <c r="U41" s="130" t="n">
        <f aca="false">IFERROR(SUMPRODUCT(MAX(('Free Fire'!$M$11:$M$34=$B41)*'Free Fire'!$G$11:$G$34)),0)</f>
        <v>0</v>
      </c>
      <c r="V41" s="130" t="n">
        <f aca="false">IFERROR(SUMPRODUCT(MAX(('EA FC 26'!$N$11:$N$46=$B41)*'EA FC 26'!$H$11:$H$46)),0)</f>
        <v>0</v>
      </c>
      <c r="W41" s="130" t="n">
        <f aca="false">IFERROR(SUMPRODUCT(MAX(('Black Ops 7'!$O$11:$O$26=$B41)*'Black Ops 7'!$J$11:$J$26)),0)</f>
        <v>0</v>
      </c>
      <c r="X41" s="130" t="n">
        <f aca="false">IFERROR(SUMPRODUCT(MAX(('Rocket League'!$P$11:$P$26=$B41)*'Rocket League'!$J$11:$J$26)),0)</f>
        <v>0</v>
      </c>
      <c r="Y41" s="130" t="n">
        <f aca="false">IFERROR(SUMPRODUCT(MAX(('Overwatch 2'!$L$11:$L$26=$B41)*'Overwatch 2'!$F$11:$F$26)),0)</f>
        <v>0</v>
      </c>
      <c r="Z41" s="130" t="n">
        <f aca="false">IFERROR(SUMPRODUCT(MAX((PUBG!$L$11:$L$34=$B41)*PUBG!$F$11:$F$34)),0)</f>
        <v>750</v>
      </c>
      <c r="AA41" s="130" t="n">
        <f aca="false">IFERROR(SUMPRODUCT(MAX(('MLBB Women'!$L$11:$L$26=$B41)*'MLBB Women'!$F$11:$F$26)),0)</f>
        <v>0</v>
      </c>
      <c r="AB41" s="130" t="n">
        <f aca="false">SUM(C41:AA41)</f>
        <v>750</v>
      </c>
      <c r="AC41" s="130" t="n">
        <v>750</v>
      </c>
      <c r="AD41" s="200" t="n">
        <f aca="false">AB41-AC41</f>
        <v>0</v>
      </c>
      <c r="AE41" s="82" t="str">
        <f aca="false">IF(AB41=0,"not started",IF(AD41=0,"reconciled",IF(AD41&gt;0,"CHECK NAMES","in progress")))</f>
        <v>reconciled</v>
      </c>
    </row>
    <row r="42" customFormat="false" ht="15" hidden="false" customHeight="true" outlineLevel="0" collapsed="false">
      <c r="B42" s="92" t="s">
        <v>304</v>
      </c>
      <c r="C42" s="130" t="n">
        <f aca="false">IFERROR(SUMIF(CS2!$L$11:$L$42,$B42,CS2!$F$11:$F$42),0)</f>
        <v>0</v>
      </c>
      <c r="D42" s="130" t="n">
        <f aca="false">IFERROR(SUMPRODUCT(MAX((Chess!$L$11:$L$32=$B42)*Chess!$F$11:$F$32)),0)</f>
        <v>0</v>
      </c>
      <c r="E42" s="130" t="n">
        <f aca="false">IFERROR(SUMPRODUCT(MAX((LoL!$L$11:$L$26=$B42)*LoL!$F$11:$F$26)),0)</f>
        <v>0</v>
      </c>
      <c r="F42" s="130" t="n">
        <f aca="false">IFERROR(SUMPRODUCT(MAX(('PUBG Mobile'!$L$11:$L$42=$B42)*'PUBG Mobile'!$F$11:$F$42)),0)</f>
        <v>0</v>
      </c>
      <c r="G42" s="130" t="n">
        <f aca="false">IFERROR(SUMPRODUCT(MAX(('Fortnite Reload'!$L$11:$L$50=$B42)*'Fortnite Reload'!$F$11:$F$50)),0)</f>
        <v>0</v>
      </c>
      <c r="H42" s="130" t="n">
        <f aca="false">IFERROR(SUMPRODUCT(MAX((Trackmania!$M$11:$M$42=$B42)*Trackmania!$G$11:$G$42)),0)</f>
        <v>0</v>
      </c>
      <c r="I42" s="130" t="n">
        <f aca="false">IFERROR(SUMPRODUCT(MAX(('Dota 2'!$N$11:$N$34=$B42)*'Dota 2'!$H$11:$H$34)),0)</f>
        <v>0</v>
      </c>
      <c r="J42" s="130" t="n">
        <f aca="false">IFERROR(SUMPRODUCT(MAX(('Tekken 8'!$N$11:$N$42=$B42)*'Tekken 8'!$H$11:$H$42)),0)</f>
        <v>0</v>
      </c>
      <c r="K42" s="130" t="n">
        <f aca="false">IFERROR(SUMPRODUCT(MAX(('Street Fighter 6'!$O$11:$O$42=$B42)*'Street Fighter 6'!$I$11:$I$42)),0)</f>
        <v>0</v>
      </c>
      <c r="L42" s="130" t="n">
        <f aca="false">IFERROR(SUMPRODUCT(MAX(('Fatal Fury CotW'!$L$11:$L$42=$B42)*'Fatal Fury CotW'!$F$11:$F$42)),0)</f>
        <v>0</v>
      </c>
      <c r="M42" s="130" t="n">
        <f aca="false">IFERROR(SUMPRODUCT(MAX((TFT!$N$11:$N$26=$B42)*TFT!$H$11:$H$26)),0)</f>
        <v>0</v>
      </c>
      <c r="N42" s="130" t="n">
        <f aca="false">IFERROR(SUMPRODUCT(MAX(('Rainbow Six'!$P$11:$P$32=$B42)*'Rainbow Six'!$J$11:$J$32)),0)</f>
        <v>0</v>
      </c>
      <c r="O42" s="130" t="n">
        <f aca="false">IFERROR(SUMPRODUCT(MAX((Warzone!$M$11:$M$42=$B42)*Warzone!$G$11:$G$42)),0)</f>
        <v>0</v>
      </c>
      <c r="P42" s="130" t="n">
        <f aca="false">IFERROR(SUMPRODUCT(MAX((Valorant!$N$11:$N$26=$B42)*Valorant!$H$11:$H$26)),0)</f>
        <v>0</v>
      </c>
      <c r="Q42" s="130" t="n">
        <f aca="false">IFERROR(SUMPRODUCT(MAX(('MLBB (MSC)'!$M$11:$M$35=$B42)*'MLBB (MSC)'!$G$11:$G$35)),0)</f>
        <v>750</v>
      </c>
      <c r="R42" s="130" t="n">
        <f aca="false">IFERROR(SUMPRODUCT(MAX(('Apex Legends'!$O$11:$O$50=$B42)*'Apex Legends'!$I$11:$I$50)),0)</f>
        <v>0</v>
      </c>
      <c r="S42" s="130" t="n">
        <f aca="false">IFERROR(SUMPRODUCT(MAX(('Honor of Kings'!$N$11:$N$30=$B42)*'Honor of Kings'!$H$11:$H$30)),0)</f>
        <v>0</v>
      </c>
      <c r="T42" s="130" t="n">
        <f aca="false">IFERROR(SUMPRODUCT(MAX((CrossFire!$L$11:$L$26=$B42)*CrossFire!$F$11:$F$26)),0)</f>
        <v>0</v>
      </c>
      <c r="U42" s="130" t="n">
        <f aca="false">IFERROR(SUMPRODUCT(MAX(('Free Fire'!$M$11:$M$34=$B42)*'Free Fire'!$G$11:$G$34)),0)</f>
        <v>0</v>
      </c>
      <c r="V42" s="130" t="n">
        <f aca="false">IFERROR(SUMPRODUCT(MAX(('EA FC 26'!$N$11:$N$46=$B42)*'EA FC 26'!$H$11:$H$46)),0)</f>
        <v>0</v>
      </c>
      <c r="W42" s="130" t="n">
        <f aca="false">IFERROR(SUMPRODUCT(MAX(('Black Ops 7'!$O$11:$O$26=$B42)*'Black Ops 7'!$J$11:$J$26)),0)</f>
        <v>0</v>
      </c>
      <c r="X42" s="130" t="n">
        <f aca="false">IFERROR(SUMPRODUCT(MAX(('Rocket League'!$P$11:$P$26=$B42)*'Rocket League'!$J$11:$J$26)),0)</f>
        <v>0</v>
      </c>
      <c r="Y42" s="130" t="n">
        <f aca="false">IFERROR(SUMPRODUCT(MAX(('Overwatch 2'!$L$11:$L$26=$B42)*'Overwatch 2'!$F$11:$F$26)),0)</f>
        <v>0</v>
      </c>
      <c r="Z42" s="130" t="n">
        <f aca="false">IFERROR(SUMPRODUCT(MAX((PUBG!$L$11:$L$34=$B42)*PUBG!$F$11:$F$34)),0)</f>
        <v>0</v>
      </c>
      <c r="AA42" s="130" t="n">
        <f aca="false">IFERROR(SUMPRODUCT(MAX(('MLBB Women'!$L$11:$L$26=$B42)*'MLBB Women'!$F$11:$F$26)),0)</f>
        <v>0</v>
      </c>
      <c r="AB42" s="130" t="n">
        <f aca="false">SUM(C42:AA42)</f>
        <v>750</v>
      </c>
      <c r="AC42" s="130" t="n">
        <v>750</v>
      </c>
      <c r="AD42" s="200" t="n">
        <f aca="false">AB42-AC42</f>
        <v>0</v>
      </c>
      <c r="AE42" s="82" t="str">
        <f aca="false">IF(AB42=0,"not started",IF(AD42=0,"reconciled",IF(AD42&gt;0,"CHECK NAMES","in progress")))</f>
        <v>reconciled</v>
      </c>
    </row>
    <row r="43" customFormat="false" ht="15" hidden="false" customHeight="true" outlineLevel="0" collapsed="false">
      <c r="B43" s="92" t="s">
        <v>189</v>
      </c>
      <c r="C43" s="130" t="n">
        <f aca="false">IFERROR(SUMIF(CS2!$L$11:$L$42,$B43,CS2!$F$11:$F$42),0)</f>
        <v>0</v>
      </c>
      <c r="D43" s="130" t="n">
        <f aca="false">IFERROR(SUMPRODUCT(MAX((Chess!$L$11:$L$32=$B43)*Chess!$F$11:$F$32)),0)</f>
        <v>0</v>
      </c>
      <c r="E43" s="130" t="n">
        <f aca="false">IFERROR(SUMPRODUCT(MAX((LoL!$L$11:$L$26=$B43)*LoL!$F$11:$F$26)),0)</f>
        <v>200</v>
      </c>
      <c r="F43" s="130" t="n">
        <f aca="false">IFERROR(SUMPRODUCT(MAX(('PUBG Mobile'!$L$11:$L$42=$B43)*'PUBG Mobile'!$F$11:$F$42)),0)</f>
        <v>0</v>
      </c>
      <c r="G43" s="130" t="n">
        <f aca="false">IFERROR(SUMPRODUCT(MAX(('Fortnite Reload'!$L$11:$L$50=$B43)*'Fortnite Reload'!$F$11:$F$50)),0)</f>
        <v>0</v>
      </c>
      <c r="H43" s="130" t="n">
        <f aca="false">IFERROR(SUMPRODUCT(MAX((Trackmania!$M$11:$M$42=$B43)*Trackmania!$G$11:$G$42)),0)</f>
        <v>0</v>
      </c>
      <c r="I43" s="130" t="n">
        <f aca="false">IFERROR(SUMPRODUCT(MAX(('Dota 2'!$N$11:$N$34=$B43)*'Dota 2'!$H$11:$H$34)),0)</f>
        <v>0</v>
      </c>
      <c r="J43" s="130" t="n">
        <f aca="false">IFERROR(SUMPRODUCT(MAX(('Tekken 8'!$N$11:$N$42=$B43)*'Tekken 8'!$H$11:$H$42)),0)</f>
        <v>0</v>
      </c>
      <c r="K43" s="130" t="n">
        <f aca="false">IFERROR(SUMPRODUCT(MAX(('Street Fighter 6'!$O$11:$O$42=$B43)*'Street Fighter 6'!$I$11:$I$42)),0)</f>
        <v>0</v>
      </c>
      <c r="L43" s="130" t="n">
        <f aca="false">IFERROR(SUMPRODUCT(MAX(('Fatal Fury CotW'!$L$11:$L$42=$B43)*'Fatal Fury CotW'!$F$11:$F$42)),0)</f>
        <v>0</v>
      </c>
      <c r="M43" s="130" t="n">
        <f aca="false">IFERROR(SUMPRODUCT(MAX((TFT!$N$11:$N$26=$B43)*TFT!$H$11:$H$26)),0)</f>
        <v>0</v>
      </c>
      <c r="N43" s="130" t="n">
        <f aca="false">IFERROR(SUMPRODUCT(MAX(('Rainbow Six'!$P$11:$P$32=$B43)*'Rainbow Six'!$J$11:$J$32)),0)</f>
        <v>0</v>
      </c>
      <c r="O43" s="130" t="n">
        <f aca="false">IFERROR(SUMPRODUCT(MAX((Warzone!$M$11:$M$42=$B43)*Warzone!$G$11:$G$42)),0)</f>
        <v>500</v>
      </c>
      <c r="P43" s="130" t="n">
        <f aca="false">IFERROR(SUMPRODUCT(MAX((Valorant!$N$11:$N$26=$B43)*Valorant!$H$11:$H$26)),0)</f>
        <v>0</v>
      </c>
      <c r="Q43" s="130" t="n">
        <f aca="false">IFERROR(SUMPRODUCT(MAX(('MLBB (MSC)'!$M$11:$M$35=$B43)*'MLBB (MSC)'!$G$11:$G$35)),0)</f>
        <v>0</v>
      </c>
      <c r="R43" s="130" t="n">
        <f aca="false">IFERROR(SUMPRODUCT(MAX(('Apex Legends'!$O$11:$O$50=$B43)*'Apex Legends'!$I$11:$I$50)),0)</f>
        <v>0</v>
      </c>
      <c r="S43" s="130" t="n">
        <f aca="false">IFERROR(SUMPRODUCT(MAX(('Honor of Kings'!$N$11:$N$30=$B43)*'Honor of Kings'!$H$11:$H$30)),0)</f>
        <v>0</v>
      </c>
      <c r="T43" s="130" t="n">
        <f aca="false">IFERROR(SUMPRODUCT(MAX((CrossFire!$L$11:$L$26=$B43)*CrossFire!$F$11:$F$26)),0)</f>
        <v>0</v>
      </c>
      <c r="U43" s="130" t="n">
        <f aca="false">IFERROR(SUMPRODUCT(MAX(('Free Fire'!$M$11:$M$34=$B43)*'Free Fire'!$G$11:$G$34)),0)</f>
        <v>0</v>
      </c>
      <c r="V43" s="130" t="n">
        <f aca="false">IFERROR(SUMPRODUCT(MAX(('EA FC 26'!$N$11:$N$46=$B43)*'EA FC 26'!$H$11:$H$46)),0)</f>
        <v>0</v>
      </c>
      <c r="W43" s="130" t="n">
        <f aca="false">IFERROR(SUMPRODUCT(MAX(('Black Ops 7'!$O$11:$O$26=$B43)*'Black Ops 7'!$J$11:$J$26)),0)</f>
        <v>0</v>
      </c>
      <c r="X43" s="130" t="n">
        <f aca="false">IFERROR(SUMPRODUCT(MAX(('Rocket League'!$P$11:$P$26=$B43)*'Rocket League'!$J$11:$J$26)),0)</f>
        <v>0</v>
      </c>
      <c r="Y43" s="130" t="n">
        <f aca="false">IFERROR(SUMPRODUCT(MAX(('Overwatch 2'!$L$11:$L$26=$B43)*'Overwatch 2'!$F$11:$F$26)),0)</f>
        <v>0</v>
      </c>
      <c r="Z43" s="130" t="n">
        <f aca="false">IFERROR(SUMPRODUCT(MAX((PUBG!$L$11:$L$34=$B43)*PUBG!$F$11:$F$34)),0)</f>
        <v>0</v>
      </c>
      <c r="AA43" s="130" t="n">
        <f aca="false">IFERROR(SUMPRODUCT(MAX(('MLBB Women'!$L$11:$L$26=$B43)*'MLBB Women'!$F$11:$F$26)),0)</f>
        <v>0</v>
      </c>
      <c r="AB43" s="130" t="n">
        <f aca="false">SUM(C43:AA43)</f>
        <v>700</v>
      </c>
      <c r="AC43" s="130" t="n">
        <v>700</v>
      </c>
      <c r="AD43" s="200" t="n">
        <f aca="false">AB43-AC43</f>
        <v>0</v>
      </c>
      <c r="AE43" s="82" t="str">
        <f aca="false">IF(AB43=0,"not started",IF(AD43=0,"reconciled",IF(AD43&gt;0,"CHECK NAMES","in progress")))</f>
        <v>reconciled</v>
      </c>
    </row>
    <row r="44" customFormat="false" ht="15" hidden="false" customHeight="true" outlineLevel="0" collapsed="false">
      <c r="B44" s="92" t="s">
        <v>152</v>
      </c>
      <c r="C44" s="130" t="n">
        <f aca="false">IFERROR(SUMIF(CS2!$L$11:$L$42,$B44,CS2!$F$11:$F$42),0)</f>
        <v>0</v>
      </c>
      <c r="D44" s="130" t="n">
        <f aca="false">IFERROR(SUMPRODUCT(MAX((Chess!$L$11:$L$32=$B44)*Chess!$F$11:$F$32)),0)</f>
        <v>0</v>
      </c>
      <c r="E44" s="130" t="n">
        <f aca="false">IFERROR(SUMPRODUCT(MAX((LoL!$L$11:$L$26=$B44)*LoL!$F$11:$F$26)),0)</f>
        <v>0</v>
      </c>
      <c r="F44" s="130" t="n">
        <f aca="false">IFERROR(SUMPRODUCT(MAX(('PUBG Mobile'!$L$11:$L$42=$B44)*'PUBG Mobile'!$F$11:$F$42)),0)</f>
        <v>0</v>
      </c>
      <c r="G44" s="130" t="n">
        <f aca="false">IFERROR(SUMPRODUCT(MAX(('Fortnite Reload'!$L$11:$L$50=$B44)*'Fortnite Reload'!$F$11:$F$50)),0)</f>
        <v>0</v>
      </c>
      <c r="H44" s="130" t="n">
        <f aca="false">IFERROR(SUMPRODUCT(MAX((Trackmania!$M$11:$M$42=$B44)*Trackmania!$G$11:$G$42)),0)</f>
        <v>0</v>
      </c>
      <c r="I44" s="130" t="n">
        <f aca="false">IFERROR(SUMPRODUCT(MAX(('Dota 2'!$N$11:$N$34=$B44)*'Dota 2'!$H$11:$H$34)),0)</f>
        <v>0</v>
      </c>
      <c r="J44" s="130" t="n">
        <f aca="false">IFERROR(SUMPRODUCT(MAX(('Tekken 8'!$N$11:$N$42=$B44)*'Tekken 8'!$H$11:$H$42)),0)</f>
        <v>0</v>
      </c>
      <c r="K44" s="130" t="n">
        <f aca="false">IFERROR(SUMPRODUCT(MAX(('Street Fighter 6'!$O$11:$O$42=$B44)*'Street Fighter 6'!$I$11:$I$42)),0)</f>
        <v>0</v>
      </c>
      <c r="L44" s="130" t="n">
        <f aca="false">IFERROR(SUMPRODUCT(MAX(('Fatal Fury CotW'!$L$11:$L$42=$B44)*'Fatal Fury CotW'!$F$11:$F$42)),0)</f>
        <v>0</v>
      </c>
      <c r="M44" s="130" t="n">
        <f aca="false">IFERROR(SUMPRODUCT(MAX((TFT!$N$11:$N$26=$B44)*TFT!$H$11:$H$26)),0)</f>
        <v>0</v>
      </c>
      <c r="N44" s="130" t="n">
        <f aca="false">IFERROR(SUMPRODUCT(MAX(('Rainbow Six'!$P$11:$P$32=$B44)*'Rainbow Six'!$J$11:$J$32)),0)</f>
        <v>0</v>
      </c>
      <c r="O44" s="130" t="n">
        <f aca="false">IFERROR(SUMPRODUCT(MAX((Warzone!$M$11:$M$42=$B44)*Warzone!$G$11:$G$42)),0)</f>
        <v>0</v>
      </c>
      <c r="P44" s="130" t="n">
        <f aca="false">IFERROR(SUMPRODUCT(MAX((Valorant!$N$11:$N$26=$B44)*Valorant!$H$11:$H$26)),0)</f>
        <v>0</v>
      </c>
      <c r="Q44" s="130" t="n">
        <f aca="false">IFERROR(SUMPRODUCT(MAX(('MLBB (MSC)'!$M$11:$M$35=$B44)*'MLBB (MSC)'!$G$11:$G$35)),0)</f>
        <v>0</v>
      </c>
      <c r="R44" s="130" t="n">
        <f aca="false">IFERROR(SUMPRODUCT(MAX(('Apex Legends'!$O$11:$O$50=$B44)*'Apex Legends'!$I$11:$I$50)),0)</f>
        <v>0</v>
      </c>
      <c r="S44" s="130" t="n">
        <f aca="false">IFERROR(SUMPRODUCT(MAX(('Honor of Kings'!$N$11:$N$30=$B44)*'Honor of Kings'!$H$11:$H$30)),0)</f>
        <v>0</v>
      </c>
      <c r="T44" s="130" t="n">
        <f aca="false">IFERROR(SUMPRODUCT(MAX((CrossFire!$L$11:$L$26=$B44)*CrossFire!$F$11:$F$26)),0)</f>
        <v>0</v>
      </c>
      <c r="U44" s="130" t="n">
        <f aca="false">IFERROR(SUMPRODUCT(MAX(('Free Fire'!$M$11:$M$34=$B44)*'Free Fire'!$G$11:$G$34)),0)</f>
        <v>0</v>
      </c>
      <c r="V44" s="130" t="n">
        <f aca="false">IFERROR(SUMPRODUCT(MAX(('EA FC 26'!$N$11:$N$46=$B44)*'EA FC 26'!$H$11:$H$46)),0)</f>
        <v>200</v>
      </c>
      <c r="W44" s="130" t="n">
        <f aca="false">IFERROR(SUMPRODUCT(MAX(('Black Ops 7'!$O$11:$O$26=$B44)*'Black Ops 7'!$J$11:$J$26)),0)</f>
        <v>0</v>
      </c>
      <c r="X44" s="130" t="n">
        <f aca="false">IFERROR(SUMPRODUCT(MAX(('Rocket League'!$P$11:$P$26=$B44)*'Rocket League'!$J$11:$J$26)),0)</f>
        <v>500</v>
      </c>
      <c r="Y44" s="130" t="n">
        <f aca="false">IFERROR(SUMPRODUCT(MAX(('Overwatch 2'!$L$11:$L$26=$B44)*'Overwatch 2'!$F$11:$F$26)),0)</f>
        <v>0</v>
      </c>
      <c r="Z44" s="130" t="n">
        <f aca="false">IFERROR(SUMPRODUCT(MAX((PUBG!$L$11:$L$34=$B44)*PUBG!$F$11:$F$34)),0)</f>
        <v>0</v>
      </c>
      <c r="AA44" s="130" t="n">
        <f aca="false">IFERROR(SUMPRODUCT(MAX(('MLBB Women'!$L$11:$L$26=$B44)*'MLBB Women'!$F$11:$F$26)),0)</f>
        <v>0</v>
      </c>
      <c r="AB44" s="130" t="n">
        <f aca="false">SUM(C44:AA44)</f>
        <v>700</v>
      </c>
      <c r="AC44" s="130" t="n">
        <v>700</v>
      </c>
      <c r="AD44" s="200" t="n">
        <f aca="false">AB44-AC44</f>
        <v>0</v>
      </c>
      <c r="AE44" s="82" t="str">
        <f aca="false">IF(AB44=0,"not started",IF(AD44=0,"reconciled",IF(AD44&gt;0,"CHECK NAMES","in progress")))</f>
        <v>reconciled</v>
      </c>
    </row>
    <row r="45" customFormat="false" ht="15" hidden="false" customHeight="true" outlineLevel="0" collapsed="false">
      <c r="B45" s="92" t="s">
        <v>193</v>
      </c>
      <c r="C45" s="130" t="n">
        <f aca="false">IFERROR(SUMIF(CS2!$L$11:$L$42,$B45,CS2!$F$11:$F$42),0)</f>
        <v>0</v>
      </c>
      <c r="D45" s="130" t="n">
        <f aca="false">IFERROR(SUMPRODUCT(MAX((Chess!$L$11:$L$32=$B45)*Chess!$F$11:$F$32)),0)</f>
        <v>0</v>
      </c>
      <c r="E45" s="130" t="n">
        <f aca="false">IFERROR(SUMPRODUCT(MAX((LoL!$L$11:$L$26=$B45)*LoL!$F$11:$F$26)),0)</f>
        <v>0</v>
      </c>
      <c r="F45" s="130" t="n">
        <f aca="false">IFERROR(SUMPRODUCT(MAX(('PUBG Mobile'!$L$11:$L$42=$B45)*'PUBG Mobile'!$F$11:$F$42)),0)</f>
        <v>0</v>
      </c>
      <c r="G45" s="130" t="n">
        <f aca="false">IFERROR(SUMPRODUCT(MAX(('Fortnite Reload'!$L$11:$L$50=$B45)*'Fortnite Reload'!$F$11:$F$50)),0)</f>
        <v>0</v>
      </c>
      <c r="H45" s="130" t="n">
        <f aca="false">IFERROR(SUMPRODUCT(MAX((Trackmania!$M$11:$M$42=$B45)*Trackmania!$G$11:$G$42)),0)</f>
        <v>0</v>
      </c>
      <c r="I45" s="130" t="n">
        <f aca="false">IFERROR(SUMPRODUCT(MAX(('Dota 2'!$N$11:$N$34=$B45)*'Dota 2'!$H$11:$H$34)),0)</f>
        <v>0</v>
      </c>
      <c r="J45" s="130" t="n">
        <f aca="false">IFERROR(SUMPRODUCT(MAX(('Tekken 8'!$N$11:$N$42=$B45)*'Tekken 8'!$H$11:$H$42)),0)</f>
        <v>0</v>
      </c>
      <c r="K45" s="130" t="n">
        <f aca="false">IFERROR(SUMPRODUCT(MAX(('Street Fighter 6'!$O$11:$O$42=$B45)*'Street Fighter 6'!$I$11:$I$42)),0)</f>
        <v>200</v>
      </c>
      <c r="L45" s="130" t="n">
        <f aca="false">IFERROR(SUMPRODUCT(MAX(('Fatal Fury CotW'!$L$11:$L$42=$B45)*'Fatal Fury CotW'!$F$11:$F$42)),0)</f>
        <v>0</v>
      </c>
      <c r="M45" s="130" t="n">
        <f aca="false">IFERROR(SUMPRODUCT(MAX((TFT!$N$11:$N$26=$B45)*TFT!$H$11:$H$26)),0)</f>
        <v>0</v>
      </c>
      <c r="N45" s="130" t="n">
        <f aca="false">IFERROR(SUMPRODUCT(MAX(('Rainbow Six'!$P$11:$P$32=$B45)*'Rainbow Six'!$J$11:$J$32)),0)</f>
        <v>0</v>
      </c>
      <c r="O45" s="130" t="n">
        <f aca="false">IFERROR(SUMPRODUCT(MAX((Warzone!$M$11:$M$42=$B45)*Warzone!$G$11:$G$42)),0)</f>
        <v>0</v>
      </c>
      <c r="P45" s="130" t="n">
        <f aca="false">IFERROR(SUMPRODUCT(MAX((Valorant!$N$11:$N$26=$B45)*Valorant!$H$11:$H$26)),0)</f>
        <v>0</v>
      </c>
      <c r="Q45" s="130" t="n">
        <f aca="false">IFERROR(SUMPRODUCT(MAX(('MLBB (MSC)'!$M$11:$M$35=$B45)*'MLBB (MSC)'!$G$11:$G$35)),0)</f>
        <v>500</v>
      </c>
      <c r="R45" s="130" t="n">
        <f aca="false">IFERROR(SUMPRODUCT(MAX(('Apex Legends'!$O$11:$O$50=$B45)*'Apex Legends'!$I$11:$I$50)),0)</f>
        <v>0</v>
      </c>
      <c r="S45" s="130" t="n">
        <f aca="false">IFERROR(SUMPRODUCT(MAX(('Honor of Kings'!$N$11:$N$30=$B45)*'Honor of Kings'!$H$11:$H$30)),0)</f>
        <v>0</v>
      </c>
      <c r="T45" s="130" t="n">
        <f aca="false">IFERROR(SUMPRODUCT(MAX((CrossFire!$L$11:$L$26=$B45)*CrossFire!$F$11:$F$26)),0)</f>
        <v>0</v>
      </c>
      <c r="U45" s="130" t="n">
        <f aca="false">IFERROR(SUMPRODUCT(MAX(('Free Fire'!$M$11:$M$34=$B45)*'Free Fire'!$G$11:$G$34)),0)</f>
        <v>0</v>
      </c>
      <c r="V45" s="130" t="n">
        <f aca="false">IFERROR(SUMPRODUCT(MAX(('EA FC 26'!$N$11:$N$46=$B45)*'EA FC 26'!$H$11:$H$46)),0)</f>
        <v>0</v>
      </c>
      <c r="W45" s="130" t="n">
        <f aca="false">IFERROR(SUMPRODUCT(MAX(('Black Ops 7'!$O$11:$O$26=$B45)*'Black Ops 7'!$J$11:$J$26)),0)</f>
        <v>0</v>
      </c>
      <c r="X45" s="130" t="n">
        <f aca="false">IFERROR(SUMPRODUCT(MAX(('Rocket League'!$P$11:$P$26=$B45)*'Rocket League'!$J$11:$J$26)),0)</f>
        <v>0</v>
      </c>
      <c r="Y45" s="130" t="n">
        <f aca="false">IFERROR(SUMPRODUCT(MAX(('Overwatch 2'!$L$11:$L$26=$B45)*'Overwatch 2'!$F$11:$F$26)),0)</f>
        <v>0</v>
      </c>
      <c r="Z45" s="130" t="n">
        <f aca="false">IFERROR(SUMPRODUCT(MAX((PUBG!$L$11:$L$34=$B45)*PUBG!$F$11:$F$34)),0)</f>
        <v>0</v>
      </c>
      <c r="AA45" s="130" t="n">
        <f aca="false">IFERROR(SUMPRODUCT(MAX(('MLBB Women'!$L$11:$L$26=$B45)*'MLBB Women'!$F$11:$F$26)),0)</f>
        <v>0</v>
      </c>
      <c r="AB45" s="130" t="n">
        <f aca="false">SUM(C45:AA45)</f>
        <v>700</v>
      </c>
      <c r="AC45" s="130" t="n">
        <v>700</v>
      </c>
      <c r="AD45" s="200" t="n">
        <f aca="false">AB45-AC45</f>
        <v>0</v>
      </c>
      <c r="AE45" s="82" t="str">
        <f aca="false">IF(AB45=0,"not started",IF(AD45=0,"reconciled",IF(AD45&gt;0,"CHECK NAMES","in progress")))</f>
        <v>reconciled</v>
      </c>
    </row>
    <row r="46" customFormat="false" ht="15" hidden="false" customHeight="true" outlineLevel="0" collapsed="false">
      <c r="B46" s="92" t="s">
        <v>386</v>
      </c>
      <c r="C46" s="130" t="n">
        <f aca="false">IFERROR(SUMIF(CS2!$L$11:$L$42,$B46,CS2!$F$11:$F$42),0)</f>
        <v>0</v>
      </c>
      <c r="D46" s="130" t="n">
        <f aca="false">IFERROR(SUMPRODUCT(MAX((Chess!$L$11:$L$32=$B46)*Chess!$F$11:$F$32)),0)</f>
        <v>0</v>
      </c>
      <c r="E46" s="130" t="n">
        <f aca="false">IFERROR(SUMPRODUCT(MAX((LoL!$L$11:$L$26=$B46)*LoL!$F$11:$F$26)),0)</f>
        <v>0</v>
      </c>
      <c r="F46" s="130" t="n">
        <f aca="false">IFERROR(SUMPRODUCT(MAX(('PUBG Mobile'!$L$11:$L$42=$B46)*'PUBG Mobile'!$F$11:$F$42)),0)</f>
        <v>0</v>
      </c>
      <c r="G46" s="130" t="n">
        <f aca="false">IFERROR(SUMPRODUCT(MAX(('Fortnite Reload'!$L$11:$L$50=$B46)*'Fortnite Reload'!$F$11:$F$50)),0)</f>
        <v>0</v>
      </c>
      <c r="H46" s="130" t="n">
        <f aca="false">IFERROR(SUMPRODUCT(MAX((Trackmania!$M$11:$M$42=$B46)*Trackmania!$G$11:$G$42)),0)</f>
        <v>0</v>
      </c>
      <c r="I46" s="130" t="n">
        <f aca="false">IFERROR(SUMPRODUCT(MAX(('Dota 2'!$N$11:$N$34=$B46)*'Dota 2'!$H$11:$H$34)),0)</f>
        <v>0</v>
      </c>
      <c r="J46" s="130" t="n">
        <f aca="false">IFERROR(SUMPRODUCT(MAX(('Tekken 8'!$N$11:$N$42=$B46)*'Tekken 8'!$H$11:$H$42)),0)</f>
        <v>0</v>
      </c>
      <c r="K46" s="130" t="n">
        <f aca="false">IFERROR(SUMPRODUCT(MAX(('Street Fighter 6'!$O$11:$O$42=$B46)*'Street Fighter 6'!$I$11:$I$42)),0)</f>
        <v>200</v>
      </c>
      <c r="L46" s="130" t="n">
        <f aca="false">IFERROR(SUMPRODUCT(MAX(('Fatal Fury CotW'!$L$11:$L$42=$B46)*'Fatal Fury CotW'!$F$11:$F$42)),0)</f>
        <v>500</v>
      </c>
      <c r="M46" s="130" t="n">
        <f aca="false">IFERROR(SUMPRODUCT(MAX((TFT!$N$11:$N$26=$B46)*TFT!$H$11:$H$26)),0)</f>
        <v>0</v>
      </c>
      <c r="N46" s="130" t="n">
        <f aca="false">IFERROR(SUMPRODUCT(MAX(('Rainbow Six'!$P$11:$P$32=$B46)*'Rainbow Six'!$J$11:$J$32)),0)</f>
        <v>0</v>
      </c>
      <c r="O46" s="130" t="n">
        <f aca="false">IFERROR(SUMPRODUCT(MAX((Warzone!$M$11:$M$42=$B46)*Warzone!$G$11:$G$42)),0)</f>
        <v>0</v>
      </c>
      <c r="P46" s="130" t="n">
        <f aca="false">IFERROR(SUMPRODUCT(MAX((Valorant!$N$11:$N$26=$B46)*Valorant!$H$11:$H$26)),0)</f>
        <v>0</v>
      </c>
      <c r="Q46" s="130" t="n">
        <f aca="false">IFERROR(SUMPRODUCT(MAX(('MLBB (MSC)'!$M$11:$M$35=$B46)*'MLBB (MSC)'!$G$11:$G$35)),0)</f>
        <v>0</v>
      </c>
      <c r="R46" s="130" t="n">
        <f aca="false">IFERROR(SUMPRODUCT(MAX(('Apex Legends'!$O$11:$O$50=$B46)*'Apex Legends'!$I$11:$I$50)),0)</f>
        <v>0</v>
      </c>
      <c r="S46" s="130" t="n">
        <f aca="false">IFERROR(SUMPRODUCT(MAX(('Honor of Kings'!$N$11:$N$30=$B46)*'Honor of Kings'!$H$11:$H$30)),0)</f>
        <v>0</v>
      </c>
      <c r="T46" s="130" t="n">
        <f aca="false">IFERROR(SUMPRODUCT(MAX((CrossFire!$L$11:$L$26=$B46)*CrossFire!$F$11:$F$26)),0)</f>
        <v>0</v>
      </c>
      <c r="U46" s="130" t="n">
        <f aca="false">IFERROR(SUMPRODUCT(MAX(('Free Fire'!$M$11:$M$34=$B46)*'Free Fire'!$G$11:$G$34)),0)</f>
        <v>0</v>
      </c>
      <c r="V46" s="130" t="n">
        <f aca="false">IFERROR(SUMPRODUCT(MAX(('EA FC 26'!$N$11:$N$46=$B46)*'EA FC 26'!$H$11:$H$46)),0)</f>
        <v>0</v>
      </c>
      <c r="W46" s="130" t="n">
        <f aca="false">IFERROR(SUMPRODUCT(MAX(('Black Ops 7'!$O$11:$O$26=$B46)*'Black Ops 7'!$J$11:$J$26)),0)</f>
        <v>0</v>
      </c>
      <c r="X46" s="130" t="n">
        <f aca="false">IFERROR(SUMPRODUCT(MAX(('Rocket League'!$P$11:$P$26=$B46)*'Rocket League'!$J$11:$J$26)),0)</f>
        <v>0</v>
      </c>
      <c r="Y46" s="130" t="n">
        <f aca="false">IFERROR(SUMPRODUCT(MAX(('Overwatch 2'!$L$11:$L$26=$B46)*'Overwatch 2'!$F$11:$F$26)),0)</f>
        <v>0</v>
      </c>
      <c r="Z46" s="130" t="n">
        <f aca="false">IFERROR(SUMPRODUCT(MAX((PUBG!$L$11:$L$34=$B46)*PUBG!$F$11:$F$34)),0)</f>
        <v>0</v>
      </c>
      <c r="AA46" s="130" t="n">
        <f aca="false">IFERROR(SUMPRODUCT(MAX(('MLBB Women'!$L$11:$L$26=$B46)*'MLBB Women'!$F$11:$F$26)),0)</f>
        <v>0</v>
      </c>
      <c r="AB46" s="130" t="n">
        <f aca="false">SUM(C46:AA46)</f>
        <v>700</v>
      </c>
      <c r="AC46" s="130" t="n">
        <v>700</v>
      </c>
      <c r="AD46" s="200" t="n">
        <f aca="false">AB46-AC46</f>
        <v>0</v>
      </c>
      <c r="AE46" s="82" t="str">
        <f aca="false">IF(AB46=0,"not started",IF(AD46=0,"reconciled",IF(AD46&gt;0,"CHECK NAMES","in progress")))</f>
        <v>reconciled</v>
      </c>
    </row>
    <row r="47" customFormat="false" ht="15" hidden="false" customHeight="true" outlineLevel="0" collapsed="false">
      <c r="B47" s="92" t="s">
        <v>204</v>
      </c>
      <c r="C47" s="130" t="n">
        <f aca="false">IFERROR(SUMIF(CS2!$L$11:$L$42,$B47,CS2!$F$11:$F$42),0)</f>
        <v>0</v>
      </c>
      <c r="D47" s="130" t="n">
        <f aca="false">IFERROR(SUMPRODUCT(MAX((Chess!$L$11:$L$32=$B47)*Chess!$F$11:$F$32)),0)</f>
        <v>0</v>
      </c>
      <c r="E47" s="130" t="n">
        <f aca="false">IFERROR(SUMPRODUCT(MAX((LoL!$L$11:$L$26=$B47)*LoL!$F$11:$F$26)),0)</f>
        <v>0</v>
      </c>
      <c r="F47" s="130" t="n">
        <f aca="false">IFERROR(SUMPRODUCT(MAX(('PUBG Mobile'!$L$11:$L$42=$B47)*'PUBG Mobile'!$F$11:$F$42)),0)</f>
        <v>0</v>
      </c>
      <c r="G47" s="130" t="n">
        <f aca="false">IFERROR(SUMPRODUCT(MAX(('Fortnite Reload'!$L$11:$L$50=$B47)*'Fortnite Reload'!$F$11:$F$50)),0)</f>
        <v>150</v>
      </c>
      <c r="H47" s="130" t="n">
        <f aca="false">IFERROR(SUMPRODUCT(MAX((Trackmania!$M$11:$M$42=$B47)*Trackmania!$G$11:$G$42)),0)</f>
        <v>0</v>
      </c>
      <c r="I47" s="130" t="n">
        <f aca="false">IFERROR(SUMPRODUCT(MAX(('Dota 2'!$N$11:$N$34=$B47)*'Dota 2'!$H$11:$H$34)),0)</f>
        <v>0</v>
      </c>
      <c r="J47" s="130" t="n">
        <f aca="false">IFERROR(SUMPRODUCT(MAX(('Tekken 8'!$N$11:$N$42=$B47)*'Tekken 8'!$H$11:$H$42)),0)</f>
        <v>0</v>
      </c>
      <c r="K47" s="130" t="n">
        <f aca="false">IFERROR(SUMPRODUCT(MAX(('Street Fighter 6'!$O$11:$O$42=$B47)*'Street Fighter 6'!$I$11:$I$42)),0)</f>
        <v>0</v>
      </c>
      <c r="L47" s="130" t="n">
        <f aca="false">IFERROR(SUMPRODUCT(MAX(('Fatal Fury CotW'!$L$11:$L$42=$B47)*'Fatal Fury CotW'!$F$11:$F$42)),0)</f>
        <v>0</v>
      </c>
      <c r="M47" s="130" t="n">
        <f aca="false">IFERROR(SUMPRODUCT(MAX((TFT!$N$11:$N$26=$B47)*TFT!$H$11:$H$26)),0)</f>
        <v>0</v>
      </c>
      <c r="N47" s="130" t="n">
        <f aca="false">IFERROR(SUMPRODUCT(MAX(('Rainbow Six'!$P$11:$P$32=$B47)*'Rainbow Six'!$J$11:$J$32)),0)</f>
        <v>0</v>
      </c>
      <c r="O47" s="130" t="n">
        <f aca="false">IFERROR(SUMPRODUCT(MAX((Warzone!$M$11:$M$42=$B47)*Warzone!$G$11:$G$42)),0)</f>
        <v>0</v>
      </c>
      <c r="P47" s="130" t="n">
        <f aca="false">IFERROR(SUMPRODUCT(MAX((Valorant!$N$11:$N$26=$B47)*Valorant!$H$11:$H$26)),0)</f>
        <v>0</v>
      </c>
      <c r="Q47" s="130" t="n">
        <f aca="false">IFERROR(SUMPRODUCT(MAX(('MLBB (MSC)'!$M$11:$M$35=$B47)*'MLBB (MSC)'!$G$11:$G$35)),0)</f>
        <v>0</v>
      </c>
      <c r="R47" s="130" t="n">
        <f aca="false">IFERROR(SUMPRODUCT(MAX(('Apex Legends'!$O$11:$O$50=$B47)*'Apex Legends'!$I$11:$I$50)),0)</f>
        <v>0</v>
      </c>
      <c r="S47" s="130" t="n">
        <f aca="false">IFERROR(SUMPRODUCT(MAX(('Honor of Kings'!$N$11:$N$30=$B47)*'Honor of Kings'!$H$11:$H$30)),0)</f>
        <v>300</v>
      </c>
      <c r="T47" s="130" t="n">
        <f aca="false">IFERROR(SUMPRODUCT(MAX((CrossFire!$L$11:$L$26=$B47)*CrossFire!$F$11:$F$26)),0)</f>
        <v>200</v>
      </c>
      <c r="U47" s="130" t="n">
        <f aca="false">IFERROR(SUMPRODUCT(MAX(('Free Fire'!$M$11:$M$34=$B47)*'Free Fire'!$G$11:$G$34)),0)</f>
        <v>0</v>
      </c>
      <c r="V47" s="130" t="n">
        <f aca="false">IFERROR(SUMPRODUCT(MAX(('EA FC 26'!$N$11:$N$46=$B47)*'EA FC 26'!$H$11:$H$46)),0)</f>
        <v>0</v>
      </c>
      <c r="W47" s="130" t="n">
        <f aca="false">IFERROR(SUMPRODUCT(MAX(('Black Ops 7'!$O$11:$O$26=$B47)*'Black Ops 7'!$J$11:$J$26)),0)</f>
        <v>0</v>
      </c>
      <c r="X47" s="130" t="n">
        <f aca="false">IFERROR(SUMPRODUCT(MAX(('Rocket League'!$P$11:$P$26=$B47)*'Rocket League'!$J$11:$J$26)),0)</f>
        <v>0</v>
      </c>
      <c r="Y47" s="130" t="n">
        <f aca="false">IFERROR(SUMPRODUCT(MAX(('Overwatch 2'!$L$11:$L$26=$B47)*'Overwatch 2'!$F$11:$F$26)),0)</f>
        <v>0</v>
      </c>
      <c r="Z47" s="130" t="n">
        <f aca="false">IFERROR(SUMPRODUCT(MAX((PUBG!$L$11:$L$34=$B47)*PUBG!$F$11:$F$34)),0)</f>
        <v>0</v>
      </c>
      <c r="AA47" s="130" t="n">
        <f aca="false">IFERROR(SUMPRODUCT(MAX(('MLBB Women'!$L$11:$L$26=$B47)*'MLBB Women'!$F$11:$F$26)),0)</f>
        <v>0</v>
      </c>
      <c r="AB47" s="130" t="n">
        <f aca="false">SUM(C47:AA47)</f>
        <v>650</v>
      </c>
      <c r="AC47" s="130" t="n">
        <v>650</v>
      </c>
      <c r="AD47" s="200" t="n">
        <f aca="false">AB47-AC47</f>
        <v>0</v>
      </c>
      <c r="AE47" s="82" t="str">
        <f aca="false">IF(AB47=0,"not started",IF(AD47=0,"reconciled",IF(AD47&gt;0,"CHECK NAMES","in progress")))</f>
        <v>reconciled</v>
      </c>
    </row>
    <row r="48" customFormat="false" ht="15" hidden="false" customHeight="true" outlineLevel="0" collapsed="false">
      <c r="B48" s="92" t="s">
        <v>138</v>
      </c>
      <c r="C48" s="130" t="n">
        <f aca="false">IFERROR(SUMIF(CS2!$L$11:$L$42,$B48,CS2!$F$11:$F$42),0)</f>
        <v>0</v>
      </c>
      <c r="D48" s="130" t="n">
        <f aca="false">IFERROR(SUMPRODUCT(MAX((Chess!$L$11:$L$32=$B48)*Chess!$F$11:$F$32)),0)</f>
        <v>200</v>
      </c>
      <c r="E48" s="130" t="n">
        <f aca="false">IFERROR(SUMPRODUCT(MAX((LoL!$L$11:$L$26=$B48)*LoL!$F$11:$F$26)),0)</f>
        <v>0</v>
      </c>
      <c r="F48" s="130" t="n">
        <f aca="false">IFERROR(SUMPRODUCT(MAX(('PUBG Mobile'!$L$11:$L$42=$B48)*'PUBG Mobile'!$F$11:$F$42)),0)</f>
        <v>0</v>
      </c>
      <c r="G48" s="130" t="n">
        <f aca="false">IFERROR(SUMPRODUCT(MAX(('Fortnite Reload'!$L$11:$L$50=$B48)*'Fortnite Reload'!$F$11:$F$50)),0)</f>
        <v>0</v>
      </c>
      <c r="H48" s="130" t="n">
        <f aca="false">IFERROR(SUMPRODUCT(MAX((Trackmania!$M$11:$M$42=$B48)*Trackmania!$G$11:$G$42)),0)</f>
        <v>100</v>
      </c>
      <c r="I48" s="130" t="n">
        <f aca="false">IFERROR(SUMPRODUCT(MAX(('Dota 2'!$N$11:$N$34=$B48)*'Dota 2'!$H$11:$H$34)),0)</f>
        <v>0</v>
      </c>
      <c r="J48" s="130" t="n">
        <f aca="false">IFERROR(SUMPRODUCT(MAX(('Tekken 8'!$N$11:$N$42=$B48)*'Tekken 8'!$H$11:$H$42)),0)</f>
        <v>0</v>
      </c>
      <c r="K48" s="130" t="n">
        <f aca="false">IFERROR(SUMPRODUCT(MAX(('Street Fighter 6'!$O$11:$O$42=$B48)*'Street Fighter 6'!$I$11:$I$42)),0)</f>
        <v>0</v>
      </c>
      <c r="L48" s="130" t="n">
        <f aca="false">IFERROR(SUMPRODUCT(MAX(('Fatal Fury CotW'!$L$11:$L$42=$B48)*'Fatal Fury CotW'!$F$11:$F$42)),0)</f>
        <v>0</v>
      </c>
      <c r="M48" s="130" t="n">
        <f aca="false">IFERROR(SUMPRODUCT(MAX((TFT!$N$11:$N$26=$B48)*TFT!$H$11:$H$26)),0)</f>
        <v>200</v>
      </c>
      <c r="N48" s="130" t="n">
        <f aca="false">IFERROR(SUMPRODUCT(MAX(('Rainbow Six'!$P$11:$P$32=$B48)*'Rainbow Six'!$J$11:$J$32)),0)</f>
        <v>0</v>
      </c>
      <c r="O48" s="130" t="n">
        <f aca="false">IFERROR(SUMPRODUCT(MAX((Warzone!$M$11:$M$42=$B48)*Warzone!$G$11:$G$42)),0)</f>
        <v>0</v>
      </c>
      <c r="P48" s="130" t="n">
        <f aca="false">IFERROR(SUMPRODUCT(MAX((Valorant!$N$11:$N$26=$B48)*Valorant!$H$11:$H$26)),0)</f>
        <v>0</v>
      </c>
      <c r="Q48" s="130" t="n">
        <f aca="false">IFERROR(SUMPRODUCT(MAX(('MLBB (MSC)'!$M$11:$M$35=$B48)*'MLBB (MSC)'!$G$11:$G$35)),0)</f>
        <v>0</v>
      </c>
      <c r="R48" s="130" t="n">
        <f aca="false">IFERROR(SUMPRODUCT(MAX(('Apex Legends'!$O$11:$O$50=$B48)*'Apex Legends'!$I$11:$I$50)),0)</f>
        <v>0</v>
      </c>
      <c r="S48" s="130" t="n">
        <f aca="false">IFERROR(SUMPRODUCT(MAX(('Honor of Kings'!$N$11:$N$30=$B48)*'Honor of Kings'!$H$11:$H$30)),0)</f>
        <v>0</v>
      </c>
      <c r="T48" s="130" t="n">
        <f aca="false">IFERROR(SUMPRODUCT(MAX((CrossFire!$L$11:$L$26=$B48)*CrossFire!$F$11:$F$26)),0)</f>
        <v>0</v>
      </c>
      <c r="U48" s="130" t="n">
        <f aca="false">IFERROR(SUMPRODUCT(MAX(('Free Fire'!$M$11:$M$34=$B48)*'Free Fire'!$G$11:$G$34)),0)</f>
        <v>0</v>
      </c>
      <c r="V48" s="130" t="n">
        <f aca="false">IFERROR(SUMPRODUCT(MAX(('EA FC 26'!$N$11:$N$46=$B48)*'EA FC 26'!$H$11:$H$46)),0)</f>
        <v>0</v>
      </c>
      <c r="W48" s="130" t="n">
        <f aca="false">IFERROR(SUMPRODUCT(MAX(('Black Ops 7'!$O$11:$O$26=$B48)*'Black Ops 7'!$J$11:$J$26)),0)</f>
        <v>0</v>
      </c>
      <c r="X48" s="130" t="n">
        <f aca="false">IFERROR(SUMPRODUCT(MAX(('Rocket League'!$P$11:$P$26=$B48)*'Rocket League'!$J$11:$J$26)),0)</f>
        <v>0</v>
      </c>
      <c r="Y48" s="130" t="n">
        <f aca="false">IFERROR(SUMPRODUCT(MAX(('Overwatch 2'!$L$11:$L$26=$B48)*'Overwatch 2'!$F$11:$F$26)),0)</f>
        <v>0</v>
      </c>
      <c r="Z48" s="130" t="n">
        <f aca="false">IFERROR(SUMPRODUCT(MAX((PUBG!$L$11:$L$34=$B48)*PUBG!$F$11:$F$34)),0)</f>
        <v>0</v>
      </c>
      <c r="AA48" s="130" t="n">
        <f aca="false">IFERROR(SUMPRODUCT(MAX(('MLBB Women'!$L$11:$L$26=$B48)*'MLBB Women'!$F$11:$F$26)),0)</f>
        <v>0</v>
      </c>
      <c r="AB48" s="130" t="n">
        <f aca="false">SUM(C48:AA48)</f>
        <v>500</v>
      </c>
      <c r="AC48" s="130" t="n">
        <v>500</v>
      </c>
      <c r="AD48" s="200" t="n">
        <f aca="false">AB48-AC48</f>
        <v>0</v>
      </c>
      <c r="AE48" s="82" t="str">
        <f aca="false">IF(AB48=0,"not started",IF(AD48=0,"reconciled",IF(AD48&gt;0,"CHECK NAMES","in progress")))</f>
        <v>reconciled</v>
      </c>
    </row>
    <row r="49" customFormat="false" ht="15" hidden="false" customHeight="true" outlineLevel="0" collapsed="false">
      <c r="B49" s="92" t="s">
        <v>263</v>
      </c>
      <c r="C49" s="130" t="n">
        <f aca="false">IFERROR(SUMIF(CS2!$L$11:$L$42,$B49,CS2!$F$11:$F$42),0)</f>
        <v>0</v>
      </c>
      <c r="D49" s="130" t="n">
        <f aca="false">IFERROR(SUMPRODUCT(MAX((Chess!$L$11:$L$32=$B49)*Chess!$F$11:$F$32)),0)</f>
        <v>0</v>
      </c>
      <c r="E49" s="130" t="n">
        <f aca="false">IFERROR(SUMPRODUCT(MAX((LoL!$L$11:$L$26=$B49)*LoL!$F$11:$F$26)),0)</f>
        <v>0</v>
      </c>
      <c r="F49" s="130" t="n">
        <f aca="false">IFERROR(SUMPRODUCT(MAX(('PUBG Mobile'!$L$11:$L$42=$B49)*'PUBG Mobile'!$F$11:$F$42)),0)</f>
        <v>0</v>
      </c>
      <c r="G49" s="130" t="n">
        <f aca="false">IFERROR(SUMPRODUCT(MAX(('Fortnite Reload'!$L$11:$L$50=$B49)*'Fortnite Reload'!$F$11:$F$50)),0)</f>
        <v>0</v>
      </c>
      <c r="H49" s="130" t="n">
        <f aca="false">IFERROR(SUMPRODUCT(MAX((Trackmania!$M$11:$M$42=$B49)*Trackmania!$G$11:$G$42)),0)</f>
        <v>0</v>
      </c>
      <c r="I49" s="130" t="n">
        <f aca="false">IFERROR(SUMPRODUCT(MAX(('Dota 2'!$N$11:$N$34=$B49)*'Dota 2'!$H$11:$H$34)),0)</f>
        <v>0</v>
      </c>
      <c r="J49" s="130" t="n">
        <f aca="false">IFERROR(SUMPRODUCT(MAX(('Tekken 8'!$N$11:$N$42=$B49)*'Tekken 8'!$H$11:$H$42)),0)</f>
        <v>0</v>
      </c>
      <c r="K49" s="130" t="n">
        <f aca="false">IFERROR(SUMPRODUCT(MAX(('Street Fighter 6'!$O$11:$O$42=$B49)*'Street Fighter 6'!$I$11:$I$42)),0)</f>
        <v>0</v>
      </c>
      <c r="L49" s="130" t="n">
        <f aca="false">IFERROR(SUMPRODUCT(MAX(('Fatal Fury CotW'!$L$11:$L$42=$B49)*'Fatal Fury CotW'!$F$11:$F$42)),0)</f>
        <v>0</v>
      </c>
      <c r="M49" s="130" t="n">
        <f aca="false">IFERROR(SUMPRODUCT(MAX((TFT!$N$11:$N$26=$B49)*TFT!$H$11:$H$26)),0)</f>
        <v>0</v>
      </c>
      <c r="N49" s="130" t="n">
        <f aca="false">IFERROR(SUMPRODUCT(MAX(('Rainbow Six'!$P$11:$P$32=$B49)*'Rainbow Six'!$J$11:$J$32)),0)</f>
        <v>0</v>
      </c>
      <c r="O49" s="130" t="n">
        <f aca="false">IFERROR(SUMPRODUCT(MAX((Warzone!$M$11:$M$42=$B49)*Warzone!$G$11:$G$42)),0)</f>
        <v>0</v>
      </c>
      <c r="P49" s="130" t="n">
        <f aca="false">IFERROR(SUMPRODUCT(MAX((Valorant!$N$11:$N$26=$B49)*Valorant!$H$11:$H$26)),0)</f>
        <v>0</v>
      </c>
      <c r="Q49" s="130" t="n">
        <f aca="false">IFERROR(SUMPRODUCT(MAX(('MLBB (MSC)'!$M$11:$M$35=$B49)*'MLBB (MSC)'!$G$11:$G$35)),0)</f>
        <v>0</v>
      </c>
      <c r="R49" s="130" t="n">
        <f aca="false">IFERROR(SUMPRODUCT(MAX(('Apex Legends'!$O$11:$O$50=$B49)*'Apex Legends'!$I$11:$I$50)),0)</f>
        <v>500</v>
      </c>
      <c r="S49" s="130" t="n">
        <f aca="false">IFERROR(SUMPRODUCT(MAX(('Honor of Kings'!$N$11:$N$30=$B49)*'Honor of Kings'!$H$11:$H$30)),0)</f>
        <v>0</v>
      </c>
      <c r="T49" s="130" t="n">
        <f aca="false">IFERROR(SUMPRODUCT(MAX((CrossFire!$L$11:$L$26=$B49)*CrossFire!$F$11:$F$26)),0)</f>
        <v>0</v>
      </c>
      <c r="U49" s="130" t="n">
        <f aca="false">IFERROR(SUMPRODUCT(MAX(('Free Fire'!$M$11:$M$34=$B49)*'Free Fire'!$G$11:$G$34)),0)</f>
        <v>0</v>
      </c>
      <c r="V49" s="130" t="n">
        <f aca="false">IFERROR(SUMPRODUCT(MAX(('EA FC 26'!$N$11:$N$46=$B49)*'EA FC 26'!$H$11:$H$46)),0)</f>
        <v>0</v>
      </c>
      <c r="W49" s="130" t="n">
        <f aca="false">IFERROR(SUMPRODUCT(MAX(('Black Ops 7'!$O$11:$O$26=$B49)*'Black Ops 7'!$J$11:$J$26)),0)</f>
        <v>0</v>
      </c>
      <c r="X49" s="130" t="n">
        <f aca="false">IFERROR(SUMPRODUCT(MAX(('Rocket League'!$P$11:$P$26=$B49)*'Rocket League'!$J$11:$J$26)),0)</f>
        <v>0</v>
      </c>
      <c r="Y49" s="130" t="n">
        <f aca="false">IFERROR(SUMPRODUCT(MAX(('Overwatch 2'!$L$11:$L$26=$B49)*'Overwatch 2'!$F$11:$F$26)),0)</f>
        <v>0</v>
      </c>
      <c r="Z49" s="130" t="n">
        <f aca="false">IFERROR(SUMPRODUCT(MAX((PUBG!$L$11:$L$34=$B49)*PUBG!$F$11:$F$34)),0)</f>
        <v>0</v>
      </c>
      <c r="AA49" s="130" t="n">
        <f aca="false">IFERROR(SUMPRODUCT(MAX(('MLBB Women'!$L$11:$L$26=$B49)*'MLBB Women'!$F$11:$F$26)),0)</f>
        <v>0</v>
      </c>
      <c r="AB49" s="130" t="n">
        <f aca="false">SUM(C49:AA49)</f>
        <v>500</v>
      </c>
      <c r="AC49" s="130" t="n">
        <v>500</v>
      </c>
      <c r="AD49" s="200" t="n">
        <f aca="false">AB49-AC49</f>
        <v>0</v>
      </c>
      <c r="AE49" s="82" t="str">
        <f aca="false">IF(AB49=0,"not started",IF(AD49=0,"reconciled",IF(AD49&gt;0,"CHECK NAMES","in progress")))</f>
        <v>reconciled</v>
      </c>
    </row>
    <row r="50" customFormat="false" ht="15" hidden="false" customHeight="true" outlineLevel="0" collapsed="false">
      <c r="B50" s="92" t="s">
        <v>370</v>
      </c>
      <c r="C50" s="130" t="n">
        <f aca="false">IFERROR(SUMIF(CS2!$L$11:$L$42,$B50,CS2!$F$11:$F$42),0)</f>
        <v>0</v>
      </c>
      <c r="D50" s="130" t="n">
        <f aca="false">IFERROR(SUMPRODUCT(MAX((Chess!$L$11:$L$32=$B50)*Chess!$F$11:$F$32)),0)</f>
        <v>0</v>
      </c>
      <c r="E50" s="130" t="n">
        <f aca="false">IFERROR(SUMPRODUCT(MAX((LoL!$L$11:$L$26=$B50)*LoL!$F$11:$F$26)),0)</f>
        <v>0</v>
      </c>
      <c r="F50" s="130" t="n">
        <f aca="false">IFERROR(SUMPRODUCT(MAX(('PUBG Mobile'!$L$11:$L$42=$B50)*'PUBG Mobile'!$F$11:$F$42)),0)</f>
        <v>0</v>
      </c>
      <c r="G50" s="130" t="n">
        <f aca="false">IFERROR(SUMPRODUCT(MAX(('Fortnite Reload'!$L$11:$L$50=$B50)*'Fortnite Reload'!$F$11:$F$50)),0)</f>
        <v>0</v>
      </c>
      <c r="H50" s="130" t="n">
        <f aca="false">IFERROR(SUMPRODUCT(MAX((Trackmania!$M$11:$M$42=$B50)*Trackmania!$G$11:$G$42)),0)</f>
        <v>0</v>
      </c>
      <c r="I50" s="130" t="n">
        <f aca="false">IFERROR(SUMPRODUCT(MAX(('Dota 2'!$N$11:$N$34=$B50)*'Dota 2'!$H$11:$H$34)),0)</f>
        <v>0</v>
      </c>
      <c r="J50" s="130" t="n">
        <f aca="false">IFERROR(SUMPRODUCT(MAX(('Tekken 8'!$N$11:$N$42=$B50)*'Tekken 8'!$H$11:$H$42)),0)</f>
        <v>0</v>
      </c>
      <c r="K50" s="130" t="n">
        <f aca="false">IFERROR(SUMPRODUCT(MAX(('Street Fighter 6'!$O$11:$O$42=$B50)*'Street Fighter 6'!$I$11:$I$42)),0)</f>
        <v>0</v>
      </c>
      <c r="L50" s="130" t="n">
        <f aca="false">IFERROR(SUMPRODUCT(MAX(('Fatal Fury CotW'!$L$11:$L$42=$B50)*'Fatal Fury CotW'!$F$11:$F$42)),0)</f>
        <v>0</v>
      </c>
      <c r="M50" s="130" t="n">
        <f aca="false">IFERROR(SUMPRODUCT(MAX((TFT!$N$11:$N$26=$B50)*TFT!$H$11:$H$26)),0)</f>
        <v>0</v>
      </c>
      <c r="N50" s="130" t="n">
        <f aca="false">IFERROR(SUMPRODUCT(MAX(('Rainbow Six'!$P$11:$P$32=$B50)*'Rainbow Six'!$J$11:$J$32)),0)</f>
        <v>0</v>
      </c>
      <c r="O50" s="130" t="n">
        <f aca="false">IFERROR(SUMPRODUCT(MAX((Warzone!$M$11:$M$42=$B50)*Warzone!$G$11:$G$42)),0)</f>
        <v>0</v>
      </c>
      <c r="P50" s="130" t="n">
        <f aca="false">IFERROR(SUMPRODUCT(MAX((Valorant!$N$11:$N$26=$B50)*Valorant!$H$11:$H$26)),0)</f>
        <v>0</v>
      </c>
      <c r="Q50" s="130" t="n">
        <f aca="false">IFERROR(SUMPRODUCT(MAX(('MLBB (MSC)'!$M$11:$M$35=$B50)*'MLBB (MSC)'!$G$11:$G$35)),0)</f>
        <v>0</v>
      </c>
      <c r="R50" s="130" t="n">
        <f aca="false">IFERROR(SUMPRODUCT(MAX(('Apex Legends'!$O$11:$O$50=$B50)*'Apex Legends'!$I$11:$I$50)),0)</f>
        <v>0</v>
      </c>
      <c r="S50" s="130" t="n">
        <f aca="false">IFERROR(SUMPRODUCT(MAX(('Honor of Kings'!$N$11:$N$30=$B50)*'Honor of Kings'!$H$11:$H$30)),0)</f>
        <v>0</v>
      </c>
      <c r="T50" s="130" t="n">
        <f aca="false">IFERROR(SUMPRODUCT(MAX((CrossFire!$L$11:$L$26=$B50)*CrossFire!$F$11:$F$26)),0)</f>
        <v>500</v>
      </c>
      <c r="U50" s="130" t="n">
        <f aca="false">IFERROR(SUMPRODUCT(MAX(('Free Fire'!$M$11:$M$34=$B50)*'Free Fire'!$G$11:$G$34)),0)</f>
        <v>0</v>
      </c>
      <c r="V50" s="130" t="n">
        <f aca="false">IFERROR(SUMPRODUCT(MAX(('EA FC 26'!$N$11:$N$46=$B50)*'EA FC 26'!$H$11:$H$46)),0)</f>
        <v>0</v>
      </c>
      <c r="W50" s="130" t="n">
        <f aca="false">IFERROR(SUMPRODUCT(MAX(('Black Ops 7'!$O$11:$O$26=$B50)*'Black Ops 7'!$J$11:$J$26)),0)</f>
        <v>0</v>
      </c>
      <c r="X50" s="130" t="n">
        <f aca="false">IFERROR(SUMPRODUCT(MAX(('Rocket League'!$P$11:$P$26=$B50)*'Rocket League'!$J$11:$J$26)),0)</f>
        <v>0</v>
      </c>
      <c r="Y50" s="130" t="n">
        <f aca="false">IFERROR(SUMPRODUCT(MAX(('Overwatch 2'!$L$11:$L$26=$B50)*'Overwatch 2'!$F$11:$F$26)),0)</f>
        <v>0</v>
      </c>
      <c r="Z50" s="130" t="n">
        <f aca="false">IFERROR(SUMPRODUCT(MAX((PUBG!$L$11:$L$34=$B50)*PUBG!$F$11:$F$34)),0)</f>
        <v>0</v>
      </c>
      <c r="AA50" s="130" t="n">
        <f aca="false">IFERROR(SUMPRODUCT(MAX(('MLBB Women'!$L$11:$L$26=$B50)*'MLBB Women'!$F$11:$F$26)),0)</f>
        <v>0</v>
      </c>
      <c r="AB50" s="130" t="n">
        <f aca="false">SUM(C50:AA50)</f>
        <v>500</v>
      </c>
      <c r="AC50" s="130" t="n">
        <v>500</v>
      </c>
      <c r="AD50" s="200" t="n">
        <f aca="false">AB50-AC50</f>
        <v>0</v>
      </c>
      <c r="AE50" s="82" t="str">
        <f aca="false">IF(AB50=0,"not started",IF(AD50=0,"reconciled",IF(AD50&gt;0,"CHECK NAMES","in progress")))</f>
        <v>reconciled</v>
      </c>
    </row>
    <row r="51" customFormat="false" ht="15" hidden="false" customHeight="true" outlineLevel="0" collapsed="false">
      <c r="B51" s="92" t="s">
        <v>251</v>
      </c>
      <c r="C51" s="130" t="n">
        <f aca="false">IFERROR(SUMIF(CS2!$L$11:$L$42,$B51,CS2!$F$11:$F$42),0)</f>
        <v>0</v>
      </c>
      <c r="D51" s="130" t="n">
        <f aca="false">IFERROR(SUMPRODUCT(MAX((Chess!$L$11:$L$32=$B51)*Chess!$F$11:$F$32)),0)</f>
        <v>0</v>
      </c>
      <c r="E51" s="130" t="n">
        <f aca="false">IFERROR(SUMPRODUCT(MAX((LoL!$L$11:$L$26=$B51)*LoL!$F$11:$F$26)),0)</f>
        <v>0</v>
      </c>
      <c r="F51" s="130" t="n">
        <f aca="false">IFERROR(SUMPRODUCT(MAX(('PUBG Mobile'!$L$11:$L$42=$B51)*'PUBG Mobile'!$F$11:$F$42)),0)</f>
        <v>0</v>
      </c>
      <c r="G51" s="130" t="n">
        <f aca="false">IFERROR(SUMPRODUCT(MAX(('Fortnite Reload'!$L$11:$L$50=$B51)*'Fortnite Reload'!$F$11:$F$50)),0)</f>
        <v>0</v>
      </c>
      <c r="H51" s="130" t="n">
        <f aca="false">IFERROR(SUMPRODUCT(MAX((Trackmania!$M$11:$M$42=$B51)*Trackmania!$G$11:$G$42)),0)</f>
        <v>0</v>
      </c>
      <c r="I51" s="130" t="n">
        <f aca="false">IFERROR(SUMPRODUCT(MAX(('Dota 2'!$N$11:$N$34=$B51)*'Dota 2'!$H$11:$H$34)),0)</f>
        <v>0</v>
      </c>
      <c r="J51" s="130" t="n">
        <f aca="false">IFERROR(SUMPRODUCT(MAX(('Tekken 8'!$N$11:$N$42=$B51)*'Tekken 8'!$H$11:$H$42)),0)</f>
        <v>0</v>
      </c>
      <c r="K51" s="130" t="n">
        <f aca="false">IFERROR(SUMPRODUCT(MAX(('Street Fighter 6'!$O$11:$O$42=$B51)*'Street Fighter 6'!$I$11:$I$42)),0)</f>
        <v>0</v>
      </c>
      <c r="L51" s="130" t="n">
        <f aca="false">IFERROR(SUMPRODUCT(MAX(('Fatal Fury CotW'!$L$11:$L$42=$B51)*'Fatal Fury CotW'!$F$11:$F$42)),0)</f>
        <v>0</v>
      </c>
      <c r="M51" s="130" t="n">
        <f aca="false">IFERROR(SUMPRODUCT(MAX((TFT!$N$11:$N$26=$B51)*TFT!$H$11:$H$26)),0)</f>
        <v>0</v>
      </c>
      <c r="N51" s="130" t="n">
        <f aca="false">IFERROR(SUMPRODUCT(MAX(('Rainbow Six'!$P$11:$P$32=$B51)*'Rainbow Six'!$J$11:$J$32)),0)</f>
        <v>0</v>
      </c>
      <c r="O51" s="130" t="n">
        <f aca="false">IFERROR(SUMPRODUCT(MAX((Warzone!$M$11:$M$42=$B51)*Warzone!$G$11:$G$42)),0)</f>
        <v>0</v>
      </c>
      <c r="P51" s="130" t="n">
        <f aca="false">IFERROR(SUMPRODUCT(MAX((Valorant!$N$11:$N$26=$B51)*Valorant!$H$11:$H$26)),0)</f>
        <v>0</v>
      </c>
      <c r="Q51" s="130" t="n">
        <f aca="false">IFERROR(SUMPRODUCT(MAX(('MLBB (MSC)'!$M$11:$M$35=$B51)*'MLBB (MSC)'!$G$11:$G$35)),0)</f>
        <v>0</v>
      </c>
      <c r="R51" s="130" t="n">
        <f aca="false">IFERROR(SUMPRODUCT(MAX(('Apex Legends'!$O$11:$O$50=$B51)*'Apex Legends'!$I$11:$I$50)),0)</f>
        <v>0</v>
      </c>
      <c r="S51" s="130" t="n">
        <f aca="false">IFERROR(SUMPRODUCT(MAX(('Honor of Kings'!$N$11:$N$30=$B51)*'Honor of Kings'!$H$11:$H$30)),0)</f>
        <v>0</v>
      </c>
      <c r="T51" s="130" t="n">
        <f aca="false">IFERROR(SUMPRODUCT(MAX((CrossFire!$L$11:$L$26=$B51)*CrossFire!$F$11:$F$26)),0)</f>
        <v>0</v>
      </c>
      <c r="U51" s="130" t="n">
        <f aca="false">IFERROR(SUMPRODUCT(MAX(('Free Fire'!$M$11:$M$34=$B51)*'Free Fire'!$G$11:$G$34)),0)</f>
        <v>500</v>
      </c>
      <c r="V51" s="130" t="n">
        <f aca="false">IFERROR(SUMPRODUCT(MAX(('EA FC 26'!$N$11:$N$46=$B51)*'EA FC 26'!$H$11:$H$46)),0)</f>
        <v>0</v>
      </c>
      <c r="W51" s="130" t="n">
        <f aca="false">IFERROR(SUMPRODUCT(MAX(('Black Ops 7'!$O$11:$O$26=$B51)*'Black Ops 7'!$J$11:$J$26)),0)</f>
        <v>0</v>
      </c>
      <c r="X51" s="130" t="n">
        <f aca="false">IFERROR(SUMPRODUCT(MAX(('Rocket League'!$P$11:$P$26=$B51)*'Rocket League'!$J$11:$J$26)),0)</f>
        <v>0</v>
      </c>
      <c r="Y51" s="130" t="n">
        <f aca="false">IFERROR(SUMPRODUCT(MAX(('Overwatch 2'!$L$11:$L$26=$B51)*'Overwatch 2'!$F$11:$F$26)),0)</f>
        <v>0</v>
      </c>
      <c r="Z51" s="130" t="n">
        <f aca="false">IFERROR(SUMPRODUCT(MAX((PUBG!$L$11:$L$34=$B51)*PUBG!$F$11:$F$34)),0)</f>
        <v>0</v>
      </c>
      <c r="AA51" s="130" t="n">
        <f aca="false">IFERROR(SUMPRODUCT(MAX(('MLBB Women'!$L$11:$L$26=$B51)*'MLBB Women'!$F$11:$F$26)),0)</f>
        <v>0</v>
      </c>
      <c r="AB51" s="130" t="n">
        <f aca="false">SUM(C51:AA51)</f>
        <v>500</v>
      </c>
      <c r="AC51" s="130" t="n">
        <v>500</v>
      </c>
      <c r="AD51" s="200" t="n">
        <f aca="false">AB51-AC51</f>
        <v>0</v>
      </c>
      <c r="AE51" s="82" t="str">
        <f aca="false">IF(AB51=0,"not started",IF(AD51=0,"reconciled",IF(AD51&gt;0,"CHECK NAMES","in progress")))</f>
        <v>reconciled</v>
      </c>
    </row>
    <row r="52" customFormat="false" ht="15" hidden="false" customHeight="true" outlineLevel="0" collapsed="false">
      <c r="B52" s="92" t="s">
        <v>376</v>
      </c>
      <c r="C52" s="130" t="n">
        <f aca="false">IFERROR(SUMIF(CS2!$L$11:$L$42,$B52,CS2!$F$11:$F$42),0)</f>
        <v>0</v>
      </c>
      <c r="D52" s="130" t="n">
        <f aca="false">IFERROR(SUMPRODUCT(MAX((Chess!$L$11:$L$32=$B52)*Chess!$F$11:$F$32)),0)</f>
        <v>0</v>
      </c>
      <c r="E52" s="130" t="n">
        <f aca="false">IFERROR(SUMPRODUCT(MAX((LoL!$L$11:$L$26=$B52)*LoL!$F$11:$F$26)),0)</f>
        <v>0</v>
      </c>
      <c r="F52" s="130" t="n">
        <f aca="false">IFERROR(SUMPRODUCT(MAX(('PUBG Mobile'!$L$11:$L$42=$B52)*'PUBG Mobile'!$F$11:$F$42)),0)</f>
        <v>0</v>
      </c>
      <c r="G52" s="130" t="n">
        <f aca="false">IFERROR(SUMPRODUCT(MAX(('Fortnite Reload'!$L$11:$L$50=$B52)*'Fortnite Reload'!$F$11:$F$50)),0)</f>
        <v>0</v>
      </c>
      <c r="H52" s="130" t="n">
        <f aca="false">IFERROR(SUMPRODUCT(MAX((Trackmania!$M$11:$M$42=$B52)*Trackmania!$G$11:$G$42)),0)</f>
        <v>0</v>
      </c>
      <c r="I52" s="130" t="n">
        <f aca="false">IFERROR(SUMPRODUCT(MAX(('Dota 2'!$N$11:$N$34=$B52)*'Dota 2'!$H$11:$H$34)),0)</f>
        <v>0</v>
      </c>
      <c r="J52" s="130" t="n">
        <f aca="false">IFERROR(SUMPRODUCT(MAX(('Tekken 8'!$N$11:$N$42=$B52)*'Tekken 8'!$H$11:$H$42)),0)</f>
        <v>0</v>
      </c>
      <c r="K52" s="130" t="n">
        <f aca="false">IFERROR(SUMPRODUCT(MAX(('Street Fighter 6'!$O$11:$O$42=$B52)*'Street Fighter 6'!$I$11:$I$42)),0)</f>
        <v>0</v>
      </c>
      <c r="L52" s="130" t="n">
        <f aca="false">IFERROR(SUMPRODUCT(MAX(('Fatal Fury CotW'!$L$11:$L$42=$B52)*'Fatal Fury CotW'!$F$11:$F$42)),0)</f>
        <v>0</v>
      </c>
      <c r="M52" s="130" t="n">
        <f aca="false">IFERROR(SUMPRODUCT(MAX((TFT!$N$11:$N$26=$B52)*TFT!$H$11:$H$26)),0)</f>
        <v>0</v>
      </c>
      <c r="N52" s="130" t="n">
        <f aca="false">IFERROR(SUMPRODUCT(MAX(('Rainbow Six'!$P$11:$P$32=$B52)*'Rainbow Six'!$J$11:$J$32)),0)</f>
        <v>0</v>
      </c>
      <c r="O52" s="130" t="n">
        <f aca="false">IFERROR(SUMPRODUCT(MAX((Warzone!$M$11:$M$42=$B52)*Warzone!$G$11:$G$42)),0)</f>
        <v>0</v>
      </c>
      <c r="P52" s="130" t="n">
        <f aca="false">IFERROR(SUMPRODUCT(MAX((Valorant!$N$11:$N$26=$B52)*Valorant!$H$11:$H$26)),0)</f>
        <v>0</v>
      </c>
      <c r="Q52" s="130" t="n">
        <f aca="false">IFERROR(SUMPRODUCT(MAX(('MLBB (MSC)'!$M$11:$M$35=$B52)*'MLBB (MSC)'!$G$11:$G$35)),0)</f>
        <v>0</v>
      </c>
      <c r="R52" s="130" t="n">
        <f aca="false">IFERROR(SUMPRODUCT(MAX(('Apex Legends'!$O$11:$O$50=$B52)*'Apex Legends'!$I$11:$I$50)),0)</f>
        <v>0</v>
      </c>
      <c r="S52" s="130" t="n">
        <f aca="false">IFERROR(SUMPRODUCT(MAX(('Honor of Kings'!$N$11:$N$30=$B52)*'Honor of Kings'!$H$11:$H$30)),0)</f>
        <v>0</v>
      </c>
      <c r="T52" s="130" t="n">
        <f aca="false">IFERROR(SUMPRODUCT(MAX((CrossFire!$L$11:$L$26=$B52)*CrossFire!$F$11:$F$26)),0)</f>
        <v>0</v>
      </c>
      <c r="U52" s="130" t="n">
        <f aca="false">IFERROR(SUMPRODUCT(MAX(('Free Fire'!$M$11:$M$34=$B52)*'Free Fire'!$G$11:$G$34)),0)</f>
        <v>0</v>
      </c>
      <c r="V52" s="130" t="n">
        <f aca="false">IFERROR(SUMPRODUCT(MAX(('EA FC 26'!$N$11:$N$46=$B52)*'EA FC 26'!$H$11:$H$46)),0)</f>
        <v>500</v>
      </c>
      <c r="W52" s="130" t="n">
        <f aca="false">IFERROR(SUMPRODUCT(MAX(('Black Ops 7'!$O$11:$O$26=$B52)*'Black Ops 7'!$J$11:$J$26)),0)</f>
        <v>0</v>
      </c>
      <c r="X52" s="130" t="n">
        <f aca="false">IFERROR(SUMPRODUCT(MAX(('Rocket League'!$P$11:$P$26=$B52)*'Rocket League'!$J$11:$J$26)),0)</f>
        <v>0</v>
      </c>
      <c r="Y52" s="130" t="n">
        <f aca="false">IFERROR(SUMPRODUCT(MAX(('Overwatch 2'!$L$11:$L$26=$B52)*'Overwatch 2'!$F$11:$F$26)),0)</f>
        <v>0</v>
      </c>
      <c r="Z52" s="130" t="n">
        <f aca="false">IFERROR(SUMPRODUCT(MAX((PUBG!$L$11:$L$34=$B52)*PUBG!$F$11:$F$34)),0)</f>
        <v>0</v>
      </c>
      <c r="AA52" s="130" t="n">
        <f aca="false">IFERROR(SUMPRODUCT(MAX(('MLBB Women'!$L$11:$L$26=$B52)*'MLBB Women'!$F$11:$F$26)),0)</f>
        <v>0</v>
      </c>
      <c r="AB52" s="130" t="n">
        <f aca="false">SUM(C52:AA52)</f>
        <v>500</v>
      </c>
      <c r="AC52" s="130" t="n">
        <v>500</v>
      </c>
      <c r="AD52" s="200" t="n">
        <f aca="false">AB52-AC52</f>
        <v>0</v>
      </c>
      <c r="AE52" s="82" t="str">
        <f aca="false">IF(AB52=0,"not started",IF(AD52=0,"reconciled",IF(AD52&gt;0,"CHECK NAMES","in progress")))</f>
        <v>reconciled</v>
      </c>
    </row>
    <row r="53" customFormat="false" ht="15" hidden="false" customHeight="true" outlineLevel="0" collapsed="false">
      <c r="B53" s="92" t="s">
        <v>390</v>
      </c>
      <c r="C53" s="130" t="n">
        <f aca="false">IFERROR(SUMIF(CS2!$L$11:$L$42,$B53,CS2!$F$11:$F$42),0)</f>
        <v>0</v>
      </c>
      <c r="D53" s="130" t="n">
        <f aca="false">IFERROR(SUMPRODUCT(MAX((Chess!$L$11:$L$32=$B53)*Chess!$F$11:$F$32)),0)</f>
        <v>0</v>
      </c>
      <c r="E53" s="130" t="n">
        <f aca="false">IFERROR(SUMPRODUCT(MAX((LoL!$L$11:$L$26=$B53)*LoL!$F$11:$F$26)),0)</f>
        <v>0</v>
      </c>
      <c r="F53" s="130" t="n">
        <f aca="false">IFERROR(SUMPRODUCT(MAX(('PUBG Mobile'!$L$11:$L$42=$B53)*'PUBG Mobile'!$F$11:$F$42)),0)</f>
        <v>0</v>
      </c>
      <c r="G53" s="130" t="n">
        <f aca="false">IFERROR(SUMPRODUCT(MAX(('Fortnite Reload'!$L$11:$L$50=$B53)*'Fortnite Reload'!$F$11:$F$50)),0)</f>
        <v>0</v>
      </c>
      <c r="H53" s="130" t="n">
        <f aca="false">IFERROR(SUMPRODUCT(MAX((Trackmania!$M$11:$M$42=$B53)*Trackmania!$G$11:$G$42)),0)</f>
        <v>0</v>
      </c>
      <c r="I53" s="130" t="n">
        <f aca="false">IFERROR(SUMPRODUCT(MAX(('Dota 2'!$N$11:$N$34=$B53)*'Dota 2'!$H$11:$H$34)),0)</f>
        <v>500</v>
      </c>
      <c r="J53" s="130" t="n">
        <f aca="false">IFERROR(SUMPRODUCT(MAX(('Tekken 8'!$N$11:$N$42=$B53)*'Tekken 8'!$H$11:$H$42)),0)</f>
        <v>0</v>
      </c>
      <c r="K53" s="130" t="n">
        <f aca="false">IFERROR(SUMPRODUCT(MAX(('Street Fighter 6'!$O$11:$O$42=$B53)*'Street Fighter 6'!$I$11:$I$42)),0)</f>
        <v>0</v>
      </c>
      <c r="L53" s="130" t="n">
        <f aca="false">IFERROR(SUMPRODUCT(MAX(('Fatal Fury CotW'!$L$11:$L$42=$B53)*'Fatal Fury CotW'!$F$11:$F$42)),0)</f>
        <v>0</v>
      </c>
      <c r="M53" s="130" t="n">
        <f aca="false">IFERROR(SUMPRODUCT(MAX((TFT!$N$11:$N$26=$B53)*TFT!$H$11:$H$26)),0)</f>
        <v>0</v>
      </c>
      <c r="N53" s="130" t="n">
        <f aca="false">IFERROR(SUMPRODUCT(MAX(('Rainbow Six'!$P$11:$P$32=$B53)*'Rainbow Six'!$J$11:$J$32)),0)</f>
        <v>0</v>
      </c>
      <c r="O53" s="130" t="n">
        <f aca="false">IFERROR(SUMPRODUCT(MAX((Warzone!$M$11:$M$42=$B53)*Warzone!$G$11:$G$42)),0)</f>
        <v>0</v>
      </c>
      <c r="P53" s="130" t="n">
        <f aca="false">IFERROR(SUMPRODUCT(MAX((Valorant!$N$11:$N$26=$B53)*Valorant!$H$11:$H$26)),0)</f>
        <v>0</v>
      </c>
      <c r="Q53" s="130" t="n">
        <f aca="false">IFERROR(SUMPRODUCT(MAX(('MLBB (MSC)'!$M$11:$M$35=$B53)*'MLBB (MSC)'!$G$11:$G$35)),0)</f>
        <v>0</v>
      </c>
      <c r="R53" s="130" t="n">
        <f aca="false">IFERROR(SUMPRODUCT(MAX(('Apex Legends'!$O$11:$O$50=$B53)*'Apex Legends'!$I$11:$I$50)),0)</f>
        <v>0</v>
      </c>
      <c r="S53" s="130" t="n">
        <f aca="false">IFERROR(SUMPRODUCT(MAX(('Honor of Kings'!$N$11:$N$30=$B53)*'Honor of Kings'!$H$11:$H$30)),0)</f>
        <v>0</v>
      </c>
      <c r="T53" s="130" t="n">
        <f aca="false">IFERROR(SUMPRODUCT(MAX((CrossFire!$L$11:$L$26=$B53)*CrossFire!$F$11:$F$26)),0)</f>
        <v>0</v>
      </c>
      <c r="U53" s="130" t="n">
        <f aca="false">IFERROR(SUMPRODUCT(MAX(('Free Fire'!$M$11:$M$34=$B53)*'Free Fire'!$G$11:$G$34)),0)</f>
        <v>0</v>
      </c>
      <c r="V53" s="130" t="n">
        <f aca="false">IFERROR(SUMPRODUCT(MAX(('EA FC 26'!$N$11:$N$46=$B53)*'EA FC 26'!$H$11:$H$46)),0)</f>
        <v>0</v>
      </c>
      <c r="W53" s="130" t="n">
        <f aca="false">IFERROR(SUMPRODUCT(MAX(('Black Ops 7'!$O$11:$O$26=$B53)*'Black Ops 7'!$J$11:$J$26)),0)</f>
        <v>0</v>
      </c>
      <c r="X53" s="130" t="n">
        <f aca="false">IFERROR(SUMPRODUCT(MAX(('Rocket League'!$P$11:$P$26=$B53)*'Rocket League'!$J$11:$J$26)),0)</f>
        <v>0</v>
      </c>
      <c r="Y53" s="130" t="n">
        <f aca="false">IFERROR(SUMPRODUCT(MAX(('Overwatch 2'!$L$11:$L$26=$B53)*'Overwatch 2'!$F$11:$F$26)),0)</f>
        <v>0</v>
      </c>
      <c r="Z53" s="130" t="n">
        <f aca="false">IFERROR(SUMPRODUCT(MAX((PUBG!$L$11:$L$34=$B53)*PUBG!$F$11:$F$34)),0)</f>
        <v>0</v>
      </c>
      <c r="AA53" s="130" t="n">
        <f aca="false">IFERROR(SUMPRODUCT(MAX(('MLBB Women'!$L$11:$L$26=$B53)*'MLBB Women'!$F$11:$F$26)),0)</f>
        <v>0</v>
      </c>
      <c r="AB53" s="130" t="n">
        <f aca="false">SUM(C53:AA53)</f>
        <v>500</v>
      </c>
      <c r="AC53" s="130" t="n">
        <v>500</v>
      </c>
      <c r="AD53" s="200" t="n">
        <f aca="false">AB53-AC53</f>
        <v>0</v>
      </c>
      <c r="AE53" s="82" t="str">
        <f aca="false">IF(AB53=0,"not started",IF(AD53=0,"reconciled",IF(AD53&gt;0,"CHECK NAMES","in progress")))</f>
        <v>reconciled</v>
      </c>
    </row>
    <row r="54" customFormat="false" ht="15" hidden="false" customHeight="true" outlineLevel="0" collapsed="false">
      <c r="B54" s="92" t="s">
        <v>145</v>
      </c>
      <c r="C54" s="130" t="n">
        <f aca="false">IFERROR(SUMIF(CS2!$L$11:$L$42,$B54,CS2!$F$11:$F$42),0)</f>
        <v>0</v>
      </c>
      <c r="D54" s="130" t="n">
        <f aca="false">IFERROR(SUMPRODUCT(MAX((Chess!$L$11:$L$32=$B54)*Chess!$F$11:$F$32)),0)</f>
        <v>0</v>
      </c>
      <c r="E54" s="130" t="n">
        <f aca="false">IFERROR(SUMPRODUCT(MAX((LoL!$L$11:$L$26=$B54)*LoL!$F$11:$F$26)),0)</f>
        <v>0</v>
      </c>
      <c r="F54" s="130" t="n">
        <f aca="false">IFERROR(SUMPRODUCT(MAX(('PUBG Mobile'!$L$11:$L$42=$B54)*'PUBG Mobile'!$F$11:$F$42)),0)</f>
        <v>0</v>
      </c>
      <c r="G54" s="130" t="n">
        <f aca="false">IFERROR(SUMPRODUCT(MAX(('Fortnite Reload'!$L$11:$L$50=$B54)*'Fortnite Reload'!$F$11:$F$50)),0)</f>
        <v>0</v>
      </c>
      <c r="H54" s="130" t="n">
        <f aca="false">IFERROR(SUMPRODUCT(MAX((Trackmania!$M$11:$M$42=$B54)*Trackmania!$G$11:$G$42)),0)</f>
        <v>200</v>
      </c>
      <c r="I54" s="130" t="n">
        <f aca="false">IFERROR(SUMPRODUCT(MAX(('Dota 2'!$N$11:$N$34=$B54)*'Dota 2'!$H$11:$H$34)),0)</f>
        <v>0</v>
      </c>
      <c r="J54" s="130" t="n">
        <f aca="false">IFERROR(SUMPRODUCT(MAX(('Tekken 8'!$N$11:$N$42=$B54)*'Tekken 8'!$H$11:$H$42)),0)</f>
        <v>0</v>
      </c>
      <c r="K54" s="130" t="n">
        <f aca="false">IFERROR(SUMPRODUCT(MAX(('Street Fighter 6'!$O$11:$O$42=$B54)*'Street Fighter 6'!$I$11:$I$42)),0)</f>
        <v>0</v>
      </c>
      <c r="L54" s="130" t="n">
        <f aca="false">IFERROR(SUMPRODUCT(MAX(('Fatal Fury CotW'!$L$11:$L$42=$B54)*'Fatal Fury CotW'!$F$11:$F$42)),0)</f>
        <v>0</v>
      </c>
      <c r="M54" s="130" t="n">
        <f aca="false">IFERROR(SUMPRODUCT(MAX((TFT!$N$11:$N$26=$B54)*TFT!$H$11:$H$26)),0)</f>
        <v>0</v>
      </c>
      <c r="N54" s="130" t="n">
        <f aca="false">IFERROR(SUMPRODUCT(MAX(('Rainbow Six'!$P$11:$P$32=$B54)*'Rainbow Six'!$J$11:$J$32)),0)</f>
        <v>0</v>
      </c>
      <c r="O54" s="130" t="n">
        <f aca="false">IFERROR(SUMPRODUCT(MAX((Warzone!$M$11:$M$42=$B54)*Warzone!$G$11:$G$42)),0)</f>
        <v>0</v>
      </c>
      <c r="P54" s="130" t="n">
        <f aca="false">IFERROR(SUMPRODUCT(MAX((Valorant!$N$11:$N$26=$B54)*Valorant!$H$11:$H$26)),0)</f>
        <v>0</v>
      </c>
      <c r="Q54" s="130" t="n">
        <f aca="false">IFERROR(SUMPRODUCT(MAX(('MLBB (MSC)'!$M$11:$M$35=$B54)*'MLBB (MSC)'!$G$11:$G$35)),0)</f>
        <v>0</v>
      </c>
      <c r="R54" s="130" t="n">
        <f aca="false">IFERROR(SUMPRODUCT(MAX(('Apex Legends'!$O$11:$O$50=$B54)*'Apex Legends'!$I$11:$I$50)),0)</f>
        <v>0</v>
      </c>
      <c r="S54" s="130" t="n">
        <f aca="false">IFERROR(SUMPRODUCT(MAX(('Honor of Kings'!$N$11:$N$30=$B54)*'Honor of Kings'!$H$11:$H$30)),0)</f>
        <v>200</v>
      </c>
      <c r="T54" s="130" t="n">
        <f aca="false">IFERROR(SUMPRODUCT(MAX((CrossFire!$L$11:$L$26=$B54)*CrossFire!$F$11:$F$26)),0)</f>
        <v>0</v>
      </c>
      <c r="U54" s="130" t="n">
        <f aca="false">IFERROR(SUMPRODUCT(MAX(('Free Fire'!$M$11:$M$34=$B54)*'Free Fire'!$G$11:$G$34)),0)</f>
        <v>0</v>
      </c>
      <c r="V54" s="130" t="n">
        <f aca="false">IFERROR(SUMPRODUCT(MAX(('EA FC 26'!$N$11:$N$46=$B54)*'EA FC 26'!$H$11:$H$46)),0)</f>
        <v>0</v>
      </c>
      <c r="W54" s="130" t="n">
        <f aca="false">IFERROR(SUMPRODUCT(MAX(('Black Ops 7'!$O$11:$O$26=$B54)*'Black Ops 7'!$J$11:$J$26)),0)</f>
        <v>0</v>
      </c>
      <c r="X54" s="130" t="n">
        <f aca="false">IFERROR(SUMPRODUCT(MAX(('Rocket League'!$P$11:$P$26=$B54)*'Rocket League'!$J$11:$J$26)),0)</f>
        <v>0</v>
      </c>
      <c r="Y54" s="130" t="n">
        <f aca="false">IFERROR(SUMPRODUCT(MAX(('Overwatch 2'!$L$11:$L$26=$B54)*'Overwatch 2'!$F$11:$F$26)),0)</f>
        <v>0</v>
      </c>
      <c r="Z54" s="130" t="n">
        <f aca="false">IFERROR(SUMPRODUCT(MAX((PUBG!$L$11:$L$34=$B54)*PUBG!$F$11:$F$34)),0)</f>
        <v>0</v>
      </c>
      <c r="AA54" s="130" t="n">
        <f aca="false">IFERROR(SUMPRODUCT(MAX(('MLBB Women'!$L$11:$L$26=$B54)*'MLBB Women'!$F$11:$F$26)),0)</f>
        <v>0</v>
      </c>
      <c r="AB54" s="130" t="n">
        <f aca="false">SUM(C54:AA54)</f>
        <v>400</v>
      </c>
      <c r="AC54" s="130" t="n">
        <v>400</v>
      </c>
      <c r="AD54" s="200" t="n">
        <f aca="false">AB54-AC54</f>
        <v>0</v>
      </c>
      <c r="AE54" s="82" t="str">
        <f aca="false">IF(AB54=0,"not started",IF(AD54=0,"reconciled",IF(AD54&gt;0,"CHECK NAMES","in progress")))</f>
        <v>reconciled</v>
      </c>
    </row>
    <row r="55" customFormat="false" ht="15" hidden="false" customHeight="true" outlineLevel="0" collapsed="false">
      <c r="B55" s="92" t="s">
        <v>191</v>
      </c>
      <c r="C55" s="130" t="n">
        <f aca="false">IFERROR(SUMIF(CS2!$L$11:$L$42,$B55,CS2!$F$11:$F$42),0)</f>
        <v>0</v>
      </c>
      <c r="D55" s="130" t="n">
        <f aca="false">IFERROR(SUMPRODUCT(MAX((Chess!$L$11:$L$32=$B55)*Chess!$F$11:$F$32)),0)</f>
        <v>0</v>
      </c>
      <c r="E55" s="130" t="n">
        <f aca="false">IFERROR(SUMPRODUCT(MAX((LoL!$L$11:$L$26=$B55)*LoL!$F$11:$F$26)),0)</f>
        <v>0</v>
      </c>
      <c r="F55" s="130" t="n">
        <f aca="false">IFERROR(SUMPRODUCT(MAX(('PUBG Mobile'!$L$11:$L$42=$B55)*'PUBG Mobile'!$F$11:$F$42)),0)</f>
        <v>0</v>
      </c>
      <c r="G55" s="130" t="n">
        <f aca="false">IFERROR(SUMPRODUCT(MAX(('Fortnite Reload'!$L$11:$L$50=$B55)*'Fortnite Reload'!$F$11:$F$50)),0)</f>
        <v>200</v>
      </c>
      <c r="H55" s="130" t="n">
        <f aca="false">IFERROR(SUMPRODUCT(MAX((Trackmania!$M$11:$M$42=$B55)*Trackmania!$G$11:$G$42)),0)</f>
        <v>0</v>
      </c>
      <c r="I55" s="130" t="n">
        <f aca="false">IFERROR(SUMPRODUCT(MAX(('Dota 2'!$N$11:$N$34=$B55)*'Dota 2'!$H$11:$H$34)),0)</f>
        <v>0</v>
      </c>
      <c r="J55" s="130" t="n">
        <f aca="false">IFERROR(SUMPRODUCT(MAX(('Tekken 8'!$N$11:$N$42=$B55)*'Tekken 8'!$H$11:$H$42)),0)</f>
        <v>0</v>
      </c>
      <c r="K55" s="130" t="n">
        <f aca="false">IFERROR(SUMPRODUCT(MAX(('Street Fighter 6'!$O$11:$O$42=$B55)*'Street Fighter 6'!$I$11:$I$42)),0)</f>
        <v>0</v>
      </c>
      <c r="L55" s="130" t="n">
        <f aca="false">IFERROR(SUMPRODUCT(MAX(('Fatal Fury CotW'!$L$11:$L$42=$B55)*'Fatal Fury CotW'!$F$11:$F$42)),0)</f>
        <v>0</v>
      </c>
      <c r="M55" s="130" t="n">
        <f aca="false">IFERROR(SUMPRODUCT(MAX((TFT!$N$11:$N$26=$B55)*TFT!$H$11:$H$26)),0)</f>
        <v>0</v>
      </c>
      <c r="N55" s="130" t="n">
        <f aca="false">IFERROR(SUMPRODUCT(MAX(('Rainbow Six'!$P$11:$P$32=$B55)*'Rainbow Six'!$J$11:$J$32)),0)</f>
        <v>0</v>
      </c>
      <c r="O55" s="130" t="n">
        <f aca="false">IFERROR(SUMPRODUCT(MAX((Warzone!$M$11:$M$42=$B55)*Warzone!$G$11:$G$42)),0)</f>
        <v>100</v>
      </c>
      <c r="P55" s="130" t="n">
        <f aca="false">IFERROR(SUMPRODUCT(MAX((Valorant!$N$11:$N$26=$B55)*Valorant!$H$11:$H$26)),0)</f>
        <v>0</v>
      </c>
      <c r="Q55" s="130" t="n">
        <f aca="false">IFERROR(SUMPRODUCT(MAX(('MLBB (MSC)'!$M$11:$M$35=$B55)*'MLBB (MSC)'!$G$11:$G$35)),0)</f>
        <v>0</v>
      </c>
      <c r="R55" s="130" t="n">
        <f aca="false">IFERROR(SUMPRODUCT(MAX(('Apex Legends'!$O$11:$O$50=$B55)*'Apex Legends'!$I$11:$I$50)),0)</f>
        <v>0</v>
      </c>
      <c r="S55" s="130" t="n">
        <f aca="false">IFERROR(SUMPRODUCT(MAX(('Honor of Kings'!$N$11:$N$30=$B55)*'Honor of Kings'!$H$11:$H$30)),0)</f>
        <v>0</v>
      </c>
      <c r="T55" s="130" t="n">
        <f aca="false">IFERROR(SUMPRODUCT(MAX((CrossFire!$L$11:$L$26=$B55)*CrossFire!$F$11:$F$26)),0)</f>
        <v>0</v>
      </c>
      <c r="U55" s="130" t="n">
        <f aca="false">IFERROR(SUMPRODUCT(MAX(('Free Fire'!$M$11:$M$34=$B55)*'Free Fire'!$G$11:$G$34)),0)</f>
        <v>0</v>
      </c>
      <c r="V55" s="130" t="n">
        <f aca="false">IFERROR(SUMPRODUCT(MAX(('EA FC 26'!$N$11:$N$46=$B55)*'EA FC 26'!$H$11:$H$46)),0)</f>
        <v>0</v>
      </c>
      <c r="W55" s="130" t="n">
        <f aca="false">IFERROR(SUMPRODUCT(MAX(('Black Ops 7'!$O$11:$O$26=$B55)*'Black Ops 7'!$J$11:$J$26)),0)</f>
        <v>0</v>
      </c>
      <c r="X55" s="130" t="n">
        <f aca="false">IFERROR(SUMPRODUCT(MAX(('Rocket League'!$P$11:$P$26=$B55)*'Rocket League'!$J$11:$J$26)),0)</f>
        <v>0</v>
      </c>
      <c r="Y55" s="130" t="n">
        <f aca="false">IFERROR(SUMPRODUCT(MAX(('Overwatch 2'!$L$11:$L$26=$B55)*'Overwatch 2'!$F$11:$F$26)),0)</f>
        <v>0</v>
      </c>
      <c r="Z55" s="130" t="n">
        <f aca="false">IFERROR(SUMPRODUCT(MAX((PUBG!$L$11:$L$34=$B55)*PUBG!$F$11:$F$34)),0)</f>
        <v>0</v>
      </c>
      <c r="AA55" s="130" t="n">
        <f aca="false">IFERROR(SUMPRODUCT(MAX(('MLBB Women'!$L$11:$L$26=$B55)*'MLBB Women'!$F$11:$F$26)),0)</f>
        <v>0</v>
      </c>
      <c r="AB55" s="130" t="n">
        <f aca="false">SUM(C55:AA55)</f>
        <v>300</v>
      </c>
      <c r="AC55" s="130" t="n">
        <v>300</v>
      </c>
      <c r="AD55" s="200" t="n">
        <f aca="false">AB55-AC55</f>
        <v>0</v>
      </c>
      <c r="AE55" s="82" t="str">
        <f aca="false">IF(AB55=0,"not started",IF(AD55=0,"reconciled",IF(AD55&gt;0,"CHECK NAMES","in progress")))</f>
        <v>reconciled</v>
      </c>
    </row>
    <row r="56" customFormat="false" ht="15" hidden="false" customHeight="true" outlineLevel="0" collapsed="false">
      <c r="B56" s="92" t="s">
        <v>306</v>
      </c>
      <c r="C56" s="130" t="n">
        <f aca="false">IFERROR(SUMIF(CS2!$L$11:$L$42,$B56,CS2!$F$11:$F$42),0)</f>
        <v>0</v>
      </c>
      <c r="D56" s="130" t="n">
        <f aca="false">IFERROR(SUMPRODUCT(MAX((Chess!$L$11:$L$32=$B56)*Chess!$F$11:$F$32)),0)</f>
        <v>0</v>
      </c>
      <c r="E56" s="130" t="n">
        <f aca="false">IFERROR(SUMPRODUCT(MAX((LoL!$L$11:$L$26=$B56)*LoL!$F$11:$F$26)),0)</f>
        <v>0</v>
      </c>
      <c r="F56" s="130" t="n">
        <f aca="false">IFERROR(SUMPRODUCT(MAX(('PUBG Mobile'!$L$11:$L$42=$B56)*'PUBG Mobile'!$F$11:$F$42)),0)</f>
        <v>300</v>
      </c>
      <c r="G56" s="130" t="n">
        <f aca="false">IFERROR(SUMPRODUCT(MAX(('Fortnite Reload'!$L$11:$L$50=$B56)*'Fortnite Reload'!$F$11:$F$50)),0)</f>
        <v>0</v>
      </c>
      <c r="H56" s="130" t="n">
        <f aca="false">IFERROR(SUMPRODUCT(MAX((Trackmania!$M$11:$M$42=$B56)*Trackmania!$G$11:$G$42)),0)</f>
        <v>0</v>
      </c>
      <c r="I56" s="130" t="n">
        <f aca="false">IFERROR(SUMPRODUCT(MAX(('Dota 2'!$N$11:$N$34=$B56)*'Dota 2'!$H$11:$H$34)),0)</f>
        <v>0</v>
      </c>
      <c r="J56" s="130" t="n">
        <f aca="false">IFERROR(SUMPRODUCT(MAX(('Tekken 8'!$N$11:$N$42=$B56)*'Tekken 8'!$H$11:$H$42)),0)</f>
        <v>0</v>
      </c>
      <c r="K56" s="130" t="n">
        <f aca="false">IFERROR(SUMPRODUCT(MAX(('Street Fighter 6'!$O$11:$O$42=$B56)*'Street Fighter 6'!$I$11:$I$42)),0)</f>
        <v>0</v>
      </c>
      <c r="L56" s="130" t="n">
        <f aca="false">IFERROR(SUMPRODUCT(MAX(('Fatal Fury CotW'!$L$11:$L$42=$B56)*'Fatal Fury CotW'!$F$11:$F$42)),0)</f>
        <v>0</v>
      </c>
      <c r="M56" s="130" t="n">
        <f aca="false">IFERROR(SUMPRODUCT(MAX((TFT!$N$11:$N$26=$B56)*TFT!$H$11:$H$26)),0)</f>
        <v>0</v>
      </c>
      <c r="N56" s="130" t="n">
        <f aca="false">IFERROR(SUMPRODUCT(MAX(('Rainbow Six'!$P$11:$P$32=$B56)*'Rainbow Six'!$J$11:$J$32)),0)</f>
        <v>0</v>
      </c>
      <c r="O56" s="130" t="n">
        <f aca="false">IFERROR(SUMPRODUCT(MAX((Warzone!$M$11:$M$42=$B56)*Warzone!$G$11:$G$42)),0)</f>
        <v>0</v>
      </c>
      <c r="P56" s="130" t="n">
        <f aca="false">IFERROR(SUMPRODUCT(MAX((Valorant!$N$11:$N$26=$B56)*Valorant!$H$11:$H$26)),0)</f>
        <v>0</v>
      </c>
      <c r="Q56" s="130" t="n">
        <f aca="false">IFERROR(SUMPRODUCT(MAX(('MLBB (MSC)'!$M$11:$M$35=$B56)*'MLBB (MSC)'!$G$11:$G$35)),0)</f>
        <v>0</v>
      </c>
      <c r="R56" s="130" t="n">
        <f aca="false">IFERROR(SUMPRODUCT(MAX(('Apex Legends'!$O$11:$O$50=$B56)*'Apex Legends'!$I$11:$I$50)),0)</f>
        <v>0</v>
      </c>
      <c r="S56" s="130" t="n">
        <f aca="false">IFERROR(SUMPRODUCT(MAX(('Honor of Kings'!$N$11:$N$30=$B56)*'Honor of Kings'!$H$11:$H$30)),0)</f>
        <v>0</v>
      </c>
      <c r="T56" s="130" t="n">
        <f aca="false">IFERROR(SUMPRODUCT(MAX((CrossFire!$L$11:$L$26=$B56)*CrossFire!$F$11:$F$26)),0)</f>
        <v>0</v>
      </c>
      <c r="U56" s="130" t="n">
        <f aca="false">IFERROR(SUMPRODUCT(MAX(('Free Fire'!$M$11:$M$34=$B56)*'Free Fire'!$G$11:$G$34)),0)</f>
        <v>0</v>
      </c>
      <c r="V56" s="130" t="n">
        <f aca="false">IFERROR(SUMPRODUCT(MAX(('EA FC 26'!$N$11:$N$46=$B56)*'EA FC 26'!$H$11:$H$46)),0)</f>
        <v>0</v>
      </c>
      <c r="W56" s="130" t="n">
        <f aca="false">IFERROR(SUMPRODUCT(MAX(('Black Ops 7'!$O$11:$O$26=$B56)*'Black Ops 7'!$J$11:$J$26)),0)</f>
        <v>0</v>
      </c>
      <c r="X56" s="130" t="n">
        <f aca="false">IFERROR(SUMPRODUCT(MAX(('Rocket League'!$P$11:$P$26=$B56)*'Rocket League'!$J$11:$J$26)),0)</f>
        <v>0</v>
      </c>
      <c r="Y56" s="130" t="n">
        <f aca="false">IFERROR(SUMPRODUCT(MAX(('Overwatch 2'!$L$11:$L$26=$B56)*'Overwatch 2'!$F$11:$F$26)),0)</f>
        <v>0</v>
      </c>
      <c r="Z56" s="130" t="n">
        <f aca="false">IFERROR(SUMPRODUCT(MAX((PUBG!$L$11:$L$34=$B56)*PUBG!$F$11:$F$34)),0)</f>
        <v>0</v>
      </c>
      <c r="AA56" s="130" t="n">
        <f aca="false">IFERROR(SUMPRODUCT(MAX(('MLBB Women'!$L$11:$L$26=$B56)*'MLBB Women'!$F$11:$F$26)),0)</f>
        <v>0</v>
      </c>
      <c r="AB56" s="130" t="n">
        <f aca="false">SUM(C56:AA56)</f>
        <v>300</v>
      </c>
      <c r="AC56" s="130" t="n">
        <v>300</v>
      </c>
      <c r="AD56" s="200" t="n">
        <f aca="false">AB56-AC56</f>
        <v>0</v>
      </c>
      <c r="AE56" s="82" t="str">
        <f aca="false">IF(AB56=0,"not started",IF(AD56=0,"reconciled",IF(AD56&gt;0,"CHECK NAMES","in progress")))</f>
        <v>reconciled</v>
      </c>
    </row>
    <row r="57" customFormat="false" ht="15" hidden="false" customHeight="true" outlineLevel="0" collapsed="false">
      <c r="B57" s="92" t="s">
        <v>284</v>
      </c>
      <c r="C57" s="130" t="n">
        <f aca="false">IFERROR(SUMIF(CS2!$L$11:$L$42,$B57,CS2!$F$11:$F$42),0)</f>
        <v>0</v>
      </c>
      <c r="D57" s="130" t="n">
        <f aca="false">IFERROR(SUMPRODUCT(MAX((Chess!$L$11:$L$32=$B57)*Chess!$F$11:$F$32)),0)</f>
        <v>0</v>
      </c>
      <c r="E57" s="130" t="n">
        <f aca="false">IFERROR(SUMPRODUCT(MAX((LoL!$L$11:$L$26=$B57)*LoL!$F$11:$F$26)),0)</f>
        <v>0</v>
      </c>
      <c r="F57" s="130" t="n">
        <f aca="false">IFERROR(SUMPRODUCT(MAX(('PUBG Mobile'!$L$11:$L$42=$B57)*'PUBG Mobile'!$F$11:$F$42)),0)</f>
        <v>0</v>
      </c>
      <c r="G57" s="130" t="n">
        <f aca="false">IFERROR(SUMPRODUCT(MAX(('Fortnite Reload'!$L$11:$L$50=$B57)*'Fortnite Reload'!$F$11:$F$50)),0)</f>
        <v>0</v>
      </c>
      <c r="H57" s="130" t="n">
        <f aca="false">IFERROR(SUMPRODUCT(MAX((Trackmania!$M$11:$M$42=$B57)*Trackmania!$G$11:$G$42)),0)</f>
        <v>0</v>
      </c>
      <c r="I57" s="130" t="n">
        <f aca="false">IFERROR(SUMPRODUCT(MAX(('Dota 2'!$N$11:$N$34=$B57)*'Dota 2'!$H$11:$H$34)),0)</f>
        <v>0</v>
      </c>
      <c r="J57" s="130" t="n">
        <f aca="false">IFERROR(SUMPRODUCT(MAX(('Tekken 8'!$N$11:$N$42=$B57)*'Tekken 8'!$H$11:$H$42)),0)</f>
        <v>0</v>
      </c>
      <c r="K57" s="130" t="n">
        <f aca="false">IFERROR(SUMPRODUCT(MAX(('Street Fighter 6'!$O$11:$O$42=$B57)*'Street Fighter 6'!$I$11:$I$42)),0)</f>
        <v>0</v>
      </c>
      <c r="L57" s="130" t="n">
        <f aca="false">IFERROR(SUMPRODUCT(MAX(('Fatal Fury CotW'!$L$11:$L$42=$B57)*'Fatal Fury CotW'!$F$11:$F$42)),0)</f>
        <v>0</v>
      </c>
      <c r="M57" s="130" t="n">
        <f aca="false">IFERROR(SUMPRODUCT(MAX((TFT!$N$11:$N$26=$B57)*TFT!$H$11:$H$26)),0)</f>
        <v>300</v>
      </c>
      <c r="N57" s="130" t="n">
        <f aca="false">IFERROR(SUMPRODUCT(MAX(('Rainbow Six'!$P$11:$P$32=$B57)*'Rainbow Six'!$J$11:$J$32)),0)</f>
        <v>0</v>
      </c>
      <c r="O57" s="130" t="n">
        <f aca="false">IFERROR(SUMPRODUCT(MAX((Warzone!$M$11:$M$42=$B57)*Warzone!$G$11:$G$42)),0)</f>
        <v>0</v>
      </c>
      <c r="P57" s="130" t="n">
        <f aca="false">IFERROR(SUMPRODUCT(MAX((Valorant!$N$11:$N$26=$B57)*Valorant!$H$11:$H$26)),0)</f>
        <v>0</v>
      </c>
      <c r="Q57" s="130" t="n">
        <f aca="false">IFERROR(SUMPRODUCT(MAX(('MLBB (MSC)'!$M$11:$M$35=$B57)*'MLBB (MSC)'!$G$11:$G$35)),0)</f>
        <v>0</v>
      </c>
      <c r="R57" s="130" t="n">
        <f aca="false">IFERROR(SUMPRODUCT(MAX(('Apex Legends'!$O$11:$O$50=$B57)*'Apex Legends'!$I$11:$I$50)),0)</f>
        <v>0</v>
      </c>
      <c r="S57" s="130" t="n">
        <f aca="false">IFERROR(SUMPRODUCT(MAX(('Honor of Kings'!$N$11:$N$30=$B57)*'Honor of Kings'!$H$11:$H$30)),0)</f>
        <v>0</v>
      </c>
      <c r="T57" s="130" t="n">
        <f aca="false">IFERROR(SUMPRODUCT(MAX((CrossFire!$L$11:$L$26=$B57)*CrossFire!$F$11:$F$26)),0)</f>
        <v>0</v>
      </c>
      <c r="U57" s="130" t="n">
        <f aca="false">IFERROR(SUMPRODUCT(MAX(('Free Fire'!$M$11:$M$34=$B57)*'Free Fire'!$G$11:$G$34)),0)</f>
        <v>0</v>
      </c>
      <c r="V57" s="130" t="n">
        <f aca="false">IFERROR(SUMPRODUCT(MAX(('EA FC 26'!$N$11:$N$46=$B57)*'EA FC 26'!$H$11:$H$46)),0)</f>
        <v>0</v>
      </c>
      <c r="W57" s="130" t="n">
        <f aca="false">IFERROR(SUMPRODUCT(MAX(('Black Ops 7'!$O$11:$O$26=$B57)*'Black Ops 7'!$J$11:$J$26)),0)</f>
        <v>0</v>
      </c>
      <c r="X57" s="130" t="n">
        <f aca="false">IFERROR(SUMPRODUCT(MAX(('Rocket League'!$P$11:$P$26=$B57)*'Rocket League'!$J$11:$J$26)),0)</f>
        <v>0</v>
      </c>
      <c r="Y57" s="130" t="n">
        <f aca="false">IFERROR(SUMPRODUCT(MAX(('Overwatch 2'!$L$11:$L$26=$B57)*'Overwatch 2'!$F$11:$F$26)),0)</f>
        <v>0</v>
      </c>
      <c r="Z57" s="130" t="n">
        <f aca="false">IFERROR(SUMPRODUCT(MAX((PUBG!$L$11:$L$34=$B57)*PUBG!$F$11:$F$34)),0)</f>
        <v>0</v>
      </c>
      <c r="AA57" s="130" t="n">
        <f aca="false">IFERROR(SUMPRODUCT(MAX(('MLBB Women'!$L$11:$L$26=$B57)*'MLBB Women'!$F$11:$F$26)),0)</f>
        <v>0</v>
      </c>
      <c r="AB57" s="130" t="n">
        <f aca="false">SUM(C57:AA57)</f>
        <v>300</v>
      </c>
      <c r="AC57" s="130" t="n">
        <v>300</v>
      </c>
      <c r="AD57" s="200" t="n">
        <f aca="false">AB57-AC57</f>
        <v>0</v>
      </c>
      <c r="AE57" s="82" t="str">
        <f aca="false">IF(AB57=0,"not started",IF(AD57=0,"reconciled",IF(AD57&gt;0,"CHECK NAMES","in progress")))</f>
        <v>reconciled</v>
      </c>
    </row>
    <row r="58" customFormat="false" ht="15" hidden="false" customHeight="true" outlineLevel="0" collapsed="false">
      <c r="B58" s="92" t="s">
        <v>362</v>
      </c>
      <c r="C58" s="130" t="n">
        <f aca="false">IFERROR(SUMIF(CS2!$L$11:$L$42,$B58,CS2!$F$11:$F$42),0)</f>
        <v>0</v>
      </c>
      <c r="D58" s="130" t="n">
        <f aca="false">IFERROR(SUMPRODUCT(MAX((Chess!$L$11:$L$32=$B58)*Chess!$F$11:$F$32)),0)</f>
        <v>0</v>
      </c>
      <c r="E58" s="130" t="n">
        <f aca="false">IFERROR(SUMPRODUCT(MAX((LoL!$L$11:$L$26=$B58)*LoL!$F$11:$F$26)),0)</f>
        <v>0</v>
      </c>
      <c r="F58" s="130" t="n">
        <f aca="false">IFERROR(SUMPRODUCT(MAX(('PUBG Mobile'!$L$11:$L$42=$B58)*'PUBG Mobile'!$F$11:$F$42)),0)</f>
        <v>0</v>
      </c>
      <c r="G58" s="130" t="n">
        <f aca="false">IFERROR(SUMPRODUCT(MAX(('Fortnite Reload'!$L$11:$L$50=$B58)*'Fortnite Reload'!$F$11:$F$50)),0)</f>
        <v>0</v>
      </c>
      <c r="H58" s="130" t="n">
        <f aca="false">IFERROR(SUMPRODUCT(MAX((Trackmania!$M$11:$M$42=$B58)*Trackmania!$G$11:$G$42)),0)</f>
        <v>0</v>
      </c>
      <c r="I58" s="130" t="n">
        <f aca="false">IFERROR(SUMPRODUCT(MAX(('Dota 2'!$N$11:$N$34=$B58)*'Dota 2'!$H$11:$H$34)),0)</f>
        <v>0</v>
      </c>
      <c r="J58" s="130" t="n">
        <f aca="false">IFERROR(SUMPRODUCT(MAX(('Tekken 8'!$N$11:$N$42=$B58)*'Tekken 8'!$H$11:$H$42)),0)</f>
        <v>0</v>
      </c>
      <c r="K58" s="130" t="n">
        <f aca="false">IFERROR(SUMPRODUCT(MAX(('Street Fighter 6'!$O$11:$O$42=$B58)*'Street Fighter 6'!$I$11:$I$42)),0)</f>
        <v>0</v>
      </c>
      <c r="L58" s="130" t="n">
        <f aca="false">IFERROR(SUMPRODUCT(MAX(('Fatal Fury CotW'!$L$11:$L$42=$B58)*'Fatal Fury CotW'!$F$11:$F$42)),0)</f>
        <v>0</v>
      </c>
      <c r="M58" s="130" t="n">
        <f aca="false">IFERROR(SUMPRODUCT(MAX((TFT!$N$11:$N$26=$B58)*TFT!$H$11:$H$26)),0)</f>
        <v>0</v>
      </c>
      <c r="N58" s="130" t="n">
        <f aca="false">IFERROR(SUMPRODUCT(MAX(('Rainbow Six'!$P$11:$P$32=$B58)*'Rainbow Six'!$J$11:$J$32)),0)</f>
        <v>0</v>
      </c>
      <c r="O58" s="130" t="n">
        <f aca="false">IFERROR(SUMPRODUCT(MAX((Warzone!$M$11:$M$42=$B58)*Warzone!$G$11:$G$42)),0)</f>
        <v>0</v>
      </c>
      <c r="P58" s="130" t="n">
        <f aca="false">IFERROR(SUMPRODUCT(MAX((Valorant!$N$11:$N$26=$B58)*Valorant!$H$11:$H$26)),0)</f>
        <v>0</v>
      </c>
      <c r="Q58" s="130" t="n">
        <f aca="false">IFERROR(SUMPRODUCT(MAX(('MLBB (MSC)'!$M$11:$M$35=$B58)*'MLBB (MSC)'!$G$11:$G$35)),0)</f>
        <v>0</v>
      </c>
      <c r="R58" s="130" t="n">
        <f aca="false">IFERROR(SUMPRODUCT(MAX(('Apex Legends'!$O$11:$O$50=$B58)*'Apex Legends'!$I$11:$I$50)),0)</f>
        <v>0</v>
      </c>
      <c r="S58" s="130" t="n">
        <f aca="false">IFERROR(SUMPRODUCT(MAX(('Honor of Kings'!$N$11:$N$30=$B58)*'Honor of Kings'!$H$11:$H$30)),0)</f>
        <v>0</v>
      </c>
      <c r="T58" s="130" t="n">
        <f aca="false">IFERROR(SUMPRODUCT(MAX((CrossFire!$L$11:$L$26=$B58)*CrossFire!$F$11:$F$26)),0)</f>
        <v>0</v>
      </c>
      <c r="U58" s="130" t="n">
        <f aca="false">IFERROR(SUMPRODUCT(MAX(('Free Fire'!$M$11:$M$34=$B58)*'Free Fire'!$G$11:$G$34)),0)</f>
        <v>0</v>
      </c>
      <c r="V58" s="130" t="n">
        <f aca="false">IFERROR(SUMPRODUCT(MAX(('EA FC 26'!$N$11:$N$46=$B58)*'EA FC 26'!$H$11:$H$46)),0)</f>
        <v>0</v>
      </c>
      <c r="W58" s="130" t="n">
        <f aca="false">IFERROR(SUMPRODUCT(MAX(('Black Ops 7'!$O$11:$O$26=$B58)*'Black Ops 7'!$J$11:$J$26)),0)</f>
        <v>0</v>
      </c>
      <c r="X58" s="130" t="n">
        <f aca="false">IFERROR(SUMPRODUCT(MAX(('Rocket League'!$P$11:$P$26=$B58)*'Rocket League'!$J$11:$J$26)),0)</f>
        <v>0</v>
      </c>
      <c r="Y58" s="130" t="n">
        <f aca="false">IFERROR(SUMPRODUCT(MAX(('Overwatch 2'!$L$11:$L$26=$B58)*'Overwatch 2'!$F$11:$F$26)),0)</f>
        <v>0</v>
      </c>
      <c r="Z58" s="130" t="n">
        <f aca="false">IFERROR(SUMPRODUCT(MAX((PUBG!$L$11:$L$34=$B58)*PUBG!$F$11:$F$34)),0)</f>
        <v>0</v>
      </c>
      <c r="AA58" s="130" t="n">
        <f aca="false">IFERROR(SUMPRODUCT(MAX(('MLBB Women'!$L$11:$L$26=$B58)*'MLBB Women'!$F$11:$F$26)),0)</f>
        <v>300</v>
      </c>
      <c r="AB58" s="130" t="n">
        <f aca="false">SUM(C58:AA58)</f>
        <v>300</v>
      </c>
      <c r="AC58" s="130" t="n">
        <v>300</v>
      </c>
      <c r="AD58" s="200" t="n">
        <f aca="false">AB58-AC58</f>
        <v>0</v>
      </c>
      <c r="AE58" s="82" t="str">
        <f aca="false">IF(AB58=0,"not started",IF(AD58=0,"reconciled",IF(AD58&gt;0,"CHECK NAMES","in progress")))</f>
        <v>reconciled</v>
      </c>
    </row>
    <row r="59" customFormat="false" ht="15" hidden="false" customHeight="true" outlineLevel="0" collapsed="false">
      <c r="B59" s="92" t="s">
        <v>511</v>
      </c>
      <c r="C59" s="130" t="n">
        <f aca="false">IFERROR(SUMIF(CS2!$L$11:$L$42,$B59,CS2!$F$11:$F$42),0)</f>
        <v>0</v>
      </c>
      <c r="D59" s="130" t="n">
        <f aca="false">IFERROR(SUMPRODUCT(MAX((Chess!$L$11:$L$32=$B59)*Chess!$F$11:$F$32)),0)</f>
        <v>0</v>
      </c>
      <c r="E59" s="130" t="n">
        <f aca="false">IFERROR(SUMPRODUCT(MAX((LoL!$L$11:$L$26=$B59)*LoL!$F$11:$F$26)),0)</f>
        <v>0</v>
      </c>
      <c r="F59" s="130" t="n">
        <f aca="false">IFERROR(SUMPRODUCT(MAX(('PUBG Mobile'!$L$11:$L$42=$B59)*'PUBG Mobile'!$F$11:$F$42)),0)</f>
        <v>0</v>
      </c>
      <c r="G59" s="130" t="n">
        <f aca="false">IFERROR(SUMPRODUCT(MAX(('Fortnite Reload'!$L$11:$L$50=$B59)*'Fortnite Reload'!$F$11:$F$50)),0)</f>
        <v>0</v>
      </c>
      <c r="H59" s="130" t="n">
        <f aca="false">IFERROR(SUMPRODUCT(MAX((Trackmania!$M$11:$M$42=$B59)*Trackmania!$G$11:$G$42)),0)</f>
        <v>0</v>
      </c>
      <c r="I59" s="130" t="n">
        <f aca="false">IFERROR(SUMPRODUCT(MAX(('Dota 2'!$N$11:$N$34=$B59)*'Dota 2'!$H$11:$H$34)),0)</f>
        <v>0</v>
      </c>
      <c r="J59" s="130" t="n">
        <f aca="false">IFERROR(SUMPRODUCT(MAX(('Tekken 8'!$N$11:$N$42=$B59)*'Tekken 8'!$H$11:$H$42)),0)</f>
        <v>0</v>
      </c>
      <c r="K59" s="130" t="n">
        <f aca="false">IFERROR(SUMPRODUCT(MAX(('Street Fighter 6'!$O$11:$O$42=$B59)*'Street Fighter 6'!$I$11:$I$42)),0)</f>
        <v>0</v>
      </c>
      <c r="L59" s="130" t="n">
        <f aca="false">IFERROR(SUMPRODUCT(MAX(('Fatal Fury CotW'!$L$11:$L$42=$B59)*'Fatal Fury CotW'!$F$11:$F$42)),0)</f>
        <v>0</v>
      </c>
      <c r="M59" s="130" t="n">
        <f aca="false">IFERROR(SUMPRODUCT(MAX((TFT!$N$11:$N$26=$B59)*TFT!$H$11:$H$26)),0)</f>
        <v>0</v>
      </c>
      <c r="N59" s="130" t="n">
        <f aca="false">IFERROR(SUMPRODUCT(MAX(('Rainbow Six'!$P$11:$P$32=$B59)*'Rainbow Six'!$J$11:$J$32)),0)</f>
        <v>0</v>
      </c>
      <c r="O59" s="130" t="n">
        <f aca="false">IFERROR(SUMPRODUCT(MAX((Warzone!$M$11:$M$42=$B59)*Warzone!$G$11:$G$42)),0)</f>
        <v>0</v>
      </c>
      <c r="P59" s="130" t="n">
        <f aca="false">IFERROR(SUMPRODUCT(MAX((Valorant!$N$11:$N$26=$B59)*Valorant!$H$11:$H$26)),0)</f>
        <v>0</v>
      </c>
      <c r="Q59" s="130" t="n">
        <f aca="false">IFERROR(SUMPRODUCT(MAX(('MLBB (MSC)'!$M$11:$M$35=$B59)*'MLBB (MSC)'!$G$11:$G$35)),0)</f>
        <v>0</v>
      </c>
      <c r="R59" s="130" t="n">
        <f aca="false">IFERROR(SUMPRODUCT(MAX(('Apex Legends'!$O$11:$O$50=$B59)*'Apex Legends'!$I$11:$I$50)),0)</f>
        <v>0</v>
      </c>
      <c r="S59" s="130" t="n">
        <f aca="false">IFERROR(SUMPRODUCT(MAX(('Honor of Kings'!$N$11:$N$30=$B59)*'Honor of Kings'!$H$11:$H$30)),0)</f>
        <v>0</v>
      </c>
      <c r="T59" s="130" t="n">
        <f aca="false">IFERROR(SUMPRODUCT(MAX((CrossFire!$L$11:$L$26=$B59)*CrossFire!$F$11:$F$26)),0)</f>
        <v>300</v>
      </c>
      <c r="U59" s="130" t="n">
        <f aca="false">IFERROR(SUMPRODUCT(MAX(('Free Fire'!$M$11:$M$34=$B59)*'Free Fire'!$G$11:$G$34)),0)</f>
        <v>0</v>
      </c>
      <c r="V59" s="130" t="n">
        <f aca="false">IFERROR(SUMPRODUCT(MAX(('EA FC 26'!$N$11:$N$46=$B59)*'EA FC 26'!$H$11:$H$46)),0)</f>
        <v>0</v>
      </c>
      <c r="W59" s="130" t="n">
        <f aca="false">IFERROR(SUMPRODUCT(MAX(('Black Ops 7'!$O$11:$O$26=$B59)*'Black Ops 7'!$J$11:$J$26)),0)</f>
        <v>0</v>
      </c>
      <c r="X59" s="130" t="n">
        <f aca="false">IFERROR(SUMPRODUCT(MAX(('Rocket League'!$P$11:$P$26=$B59)*'Rocket League'!$J$11:$J$26)),0)</f>
        <v>0</v>
      </c>
      <c r="Y59" s="130" t="n">
        <f aca="false">IFERROR(SUMPRODUCT(MAX(('Overwatch 2'!$L$11:$L$26=$B59)*'Overwatch 2'!$F$11:$F$26)),0)</f>
        <v>0</v>
      </c>
      <c r="Z59" s="130" t="n">
        <f aca="false">IFERROR(SUMPRODUCT(MAX((PUBG!$L$11:$L$34=$B59)*PUBG!$F$11:$F$34)),0)</f>
        <v>0</v>
      </c>
      <c r="AA59" s="130" t="n">
        <f aca="false">IFERROR(SUMPRODUCT(MAX(('MLBB Women'!$L$11:$L$26=$B59)*'MLBB Women'!$F$11:$F$26)),0)</f>
        <v>0</v>
      </c>
      <c r="AB59" s="130" t="n">
        <f aca="false">SUM(C59:AA59)</f>
        <v>300</v>
      </c>
      <c r="AC59" s="130" t="n">
        <v>300</v>
      </c>
      <c r="AD59" s="200" t="n">
        <f aca="false">AB59-AC59</f>
        <v>0</v>
      </c>
      <c r="AE59" s="82" t="str">
        <f aca="false">IF(AB59=0,"not started",IF(AD59=0,"reconciled",IF(AD59&gt;0,"CHECK NAMES","in progress")))</f>
        <v>reconciled</v>
      </c>
    </row>
    <row r="60" customFormat="false" ht="15" hidden="false" customHeight="true" outlineLevel="0" collapsed="false">
      <c r="B60" s="92" t="s">
        <v>202</v>
      </c>
      <c r="C60" s="130" t="n">
        <f aca="false">IFERROR(SUMIF(CS2!$L$11:$L$42,$B60,CS2!$F$11:$F$42),0)</f>
        <v>0</v>
      </c>
      <c r="D60" s="130" t="n">
        <f aca="false">IFERROR(SUMPRODUCT(MAX((Chess!$L$11:$L$32=$B60)*Chess!$F$11:$F$32)),0)</f>
        <v>0</v>
      </c>
      <c r="E60" s="130" t="n">
        <f aca="false">IFERROR(SUMPRODUCT(MAX((LoL!$L$11:$L$26=$B60)*LoL!$F$11:$F$26)),0)</f>
        <v>0</v>
      </c>
      <c r="F60" s="130" t="n">
        <f aca="false">IFERROR(SUMPRODUCT(MAX(('PUBG Mobile'!$L$11:$L$42=$B60)*'PUBG Mobile'!$F$11:$F$42)),0)</f>
        <v>0</v>
      </c>
      <c r="G60" s="130" t="n">
        <f aca="false">IFERROR(SUMPRODUCT(MAX(('Fortnite Reload'!$L$11:$L$50=$B60)*'Fortnite Reload'!$F$11:$F$50)),0)</f>
        <v>0</v>
      </c>
      <c r="H60" s="130" t="n">
        <f aca="false">IFERROR(SUMPRODUCT(MAX((Trackmania!$M$11:$M$42=$B60)*Trackmania!$G$11:$G$42)),0)</f>
        <v>0</v>
      </c>
      <c r="I60" s="130" t="n">
        <f aca="false">IFERROR(SUMPRODUCT(MAX(('Dota 2'!$N$11:$N$34=$B60)*'Dota 2'!$H$11:$H$34)),0)</f>
        <v>0</v>
      </c>
      <c r="J60" s="130" t="n">
        <f aca="false">IFERROR(SUMPRODUCT(MAX(('Tekken 8'!$N$11:$N$42=$B60)*'Tekken 8'!$H$11:$H$42)),0)</f>
        <v>0</v>
      </c>
      <c r="K60" s="130" t="n">
        <f aca="false">IFERROR(SUMPRODUCT(MAX(('Street Fighter 6'!$O$11:$O$42=$B60)*'Street Fighter 6'!$I$11:$I$42)),0)</f>
        <v>0</v>
      </c>
      <c r="L60" s="130" t="n">
        <f aca="false">IFERROR(SUMPRODUCT(MAX(('Fatal Fury CotW'!$L$11:$L$42=$B60)*'Fatal Fury CotW'!$F$11:$F$42)),0)</f>
        <v>0</v>
      </c>
      <c r="M60" s="130" t="n">
        <f aca="false">IFERROR(SUMPRODUCT(MAX((TFT!$N$11:$N$26=$B60)*TFT!$H$11:$H$26)),0)</f>
        <v>0</v>
      </c>
      <c r="N60" s="130" t="n">
        <f aca="false">IFERROR(SUMPRODUCT(MAX(('Rainbow Six'!$P$11:$P$32=$B60)*'Rainbow Six'!$J$11:$J$32)),0)</f>
        <v>0</v>
      </c>
      <c r="O60" s="130" t="n">
        <f aca="false">IFERROR(SUMPRODUCT(MAX((Warzone!$M$11:$M$42=$B60)*Warzone!$G$11:$G$42)),0)</f>
        <v>0</v>
      </c>
      <c r="P60" s="130" t="n">
        <f aca="false">IFERROR(SUMPRODUCT(MAX((Valorant!$N$11:$N$26=$B60)*Valorant!$H$11:$H$26)),0)</f>
        <v>200</v>
      </c>
      <c r="Q60" s="130" t="n">
        <f aca="false">IFERROR(SUMPRODUCT(MAX(('MLBB (MSC)'!$M$11:$M$35=$B60)*'MLBB (MSC)'!$G$11:$G$35)),0)</f>
        <v>0</v>
      </c>
      <c r="R60" s="130" t="n">
        <f aca="false">IFERROR(SUMPRODUCT(MAX(('Apex Legends'!$O$11:$O$50=$B60)*'Apex Legends'!$I$11:$I$50)),0)</f>
        <v>0</v>
      </c>
      <c r="S60" s="130" t="n">
        <f aca="false">IFERROR(SUMPRODUCT(MAX(('Honor of Kings'!$N$11:$N$30=$B60)*'Honor of Kings'!$H$11:$H$30)),0)</f>
        <v>0</v>
      </c>
      <c r="T60" s="130" t="n">
        <f aca="false">IFERROR(SUMPRODUCT(MAX((CrossFire!$L$11:$L$26=$B60)*CrossFire!$F$11:$F$26)),0)</f>
        <v>0</v>
      </c>
      <c r="U60" s="130" t="n">
        <f aca="false">IFERROR(SUMPRODUCT(MAX(('Free Fire'!$M$11:$M$34=$B60)*'Free Fire'!$G$11:$G$34)),0)</f>
        <v>50</v>
      </c>
      <c r="V60" s="130" t="n">
        <f aca="false">IFERROR(SUMPRODUCT(MAX(('EA FC 26'!$N$11:$N$46=$B60)*'EA FC 26'!$H$11:$H$46)),0)</f>
        <v>0</v>
      </c>
      <c r="W60" s="130" t="n">
        <f aca="false">IFERROR(SUMPRODUCT(MAX(('Black Ops 7'!$O$11:$O$26=$B60)*'Black Ops 7'!$J$11:$J$26)),0)</f>
        <v>0</v>
      </c>
      <c r="X60" s="130" t="n">
        <f aca="false">IFERROR(SUMPRODUCT(MAX(('Rocket League'!$P$11:$P$26=$B60)*'Rocket League'!$J$11:$J$26)),0)</f>
        <v>0</v>
      </c>
      <c r="Y60" s="130" t="n">
        <f aca="false">IFERROR(SUMPRODUCT(MAX(('Overwatch 2'!$L$11:$L$26=$B60)*'Overwatch 2'!$F$11:$F$26)),0)</f>
        <v>0</v>
      </c>
      <c r="Z60" s="130" t="n">
        <f aca="false">IFERROR(SUMPRODUCT(MAX((PUBG!$L$11:$L$34=$B60)*PUBG!$F$11:$F$34)),0)</f>
        <v>0</v>
      </c>
      <c r="AA60" s="130" t="n">
        <f aca="false">IFERROR(SUMPRODUCT(MAX(('MLBB Women'!$L$11:$L$26=$B60)*'MLBB Women'!$F$11:$F$26)),0)</f>
        <v>0</v>
      </c>
      <c r="AB60" s="130" t="n">
        <f aca="false">SUM(C60:AA60)</f>
        <v>250</v>
      </c>
      <c r="AC60" s="130" t="n">
        <v>250</v>
      </c>
      <c r="AD60" s="200" t="n">
        <f aca="false">AB60-AC60</f>
        <v>0</v>
      </c>
      <c r="AE60" s="82" t="str">
        <f aca="false">IF(AB60=0,"not started",IF(AD60=0,"reconciled",IF(AD60&gt;0,"CHECK NAMES","in progress")))</f>
        <v>reconciled</v>
      </c>
    </row>
    <row r="61" customFormat="false" ht="15" hidden="false" customHeight="true" outlineLevel="0" collapsed="false">
      <c r="B61" s="92" t="s">
        <v>212</v>
      </c>
      <c r="C61" s="130" t="n">
        <f aca="false">IFERROR(SUMIF(CS2!$L$11:$L$42,$B61,CS2!$F$11:$F$42),0)</f>
        <v>0</v>
      </c>
      <c r="D61" s="130" t="n">
        <f aca="false">IFERROR(SUMPRODUCT(MAX((Chess!$L$11:$L$32=$B61)*Chess!$F$11:$F$32)),0)</f>
        <v>0</v>
      </c>
      <c r="E61" s="130" t="n">
        <f aca="false">IFERROR(SUMPRODUCT(MAX((LoL!$L$11:$L$26=$B61)*LoL!$F$11:$F$26)),0)</f>
        <v>0</v>
      </c>
      <c r="F61" s="130" t="n">
        <f aca="false">IFERROR(SUMPRODUCT(MAX(('PUBG Mobile'!$L$11:$L$42=$B61)*'PUBG Mobile'!$F$11:$F$42)),0)</f>
        <v>0</v>
      </c>
      <c r="G61" s="130" t="n">
        <f aca="false">IFERROR(SUMPRODUCT(MAX(('Fortnite Reload'!$L$11:$L$50=$B61)*'Fortnite Reload'!$F$11:$F$50)),0)</f>
        <v>0</v>
      </c>
      <c r="H61" s="130" t="n">
        <f aca="false">IFERROR(SUMPRODUCT(MAX((Trackmania!$M$11:$M$42=$B61)*Trackmania!$G$11:$G$42)),0)</f>
        <v>0</v>
      </c>
      <c r="I61" s="130" t="n">
        <f aca="false">IFERROR(SUMPRODUCT(MAX(('Dota 2'!$N$11:$N$34=$B61)*'Dota 2'!$H$11:$H$34)),0)</f>
        <v>0</v>
      </c>
      <c r="J61" s="130" t="n">
        <f aca="false">IFERROR(SUMPRODUCT(MAX(('Tekken 8'!$N$11:$N$42=$B61)*'Tekken 8'!$H$11:$H$42)),0)</f>
        <v>0</v>
      </c>
      <c r="K61" s="130" t="n">
        <f aca="false">IFERROR(SUMPRODUCT(MAX(('Street Fighter 6'!$O$11:$O$42=$B61)*'Street Fighter 6'!$I$11:$I$42)),0)</f>
        <v>0</v>
      </c>
      <c r="L61" s="130" t="n">
        <f aca="false">IFERROR(SUMPRODUCT(MAX(('Fatal Fury CotW'!$L$11:$L$42=$B61)*'Fatal Fury CotW'!$F$11:$F$42)),0)</f>
        <v>0</v>
      </c>
      <c r="M61" s="130" t="n">
        <f aca="false">IFERROR(SUMPRODUCT(MAX((TFT!$N$11:$N$26=$B61)*TFT!$H$11:$H$26)),0)</f>
        <v>0</v>
      </c>
      <c r="N61" s="130" t="n">
        <f aca="false">IFERROR(SUMPRODUCT(MAX(('Rainbow Six'!$P$11:$P$32=$B61)*'Rainbow Six'!$J$11:$J$32)),0)</f>
        <v>0</v>
      </c>
      <c r="O61" s="130" t="n">
        <f aca="false">IFERROR(SUMPRODUCT(MAX((Warzone!$M$11:$M$42=$B61)*Warzone!$G$11:$G$42)),0)</f>
        <v>0</v>
      </c>
      <c r="P61" s="130" t="n">
        <f aca="false">IFERROR(SUMPRODUCT(MAX((Valorant!$N$11:$N$26=$B61)*Valorant!$H$11:$H$26)),0)</f>
        <v>0</v>
      </c>
      <c r="Q61" s="130" t="n">
        <f aca="false">IFERROR(SUMPRODUCT(MAX(('MLBB (MSC)'!$M$11:$M$35=$B61)*'MLBB (MSC)'!$G$11:$G$35)),0)</f>
        <v>0</v>
      </c>
      <c r="R61" s="130" t="n">
        <f aca="false">IFERROR(SUMPRODUCT(MAX(('Apex Legends'!$O$11:$O$50=$B61)*'Apex Legends'!$I$11:$I$50)),0)</f>
        <v>0</v>
      </c>
      <c r="S61" s="130" t="n">
        <f aca="false">IFERROR(SUMPRODUCT(MAX(('Honor of Kings'!$N$11:$N$30=$B61)*'Honor of Kings'!$H$11:$H$30)),0)</f>
        <v>0</v>
      </c>
      <c r="T61" s="130" t="n">
        <f aca="false">IFERROR(SUMPRODUCT(MAX((CrossFire!$L$11:$L$26=$B61)*CrossFire!$F$11:$F$26)),0)</f>
        <v>0</v>
      </c>
      <c r="U61" s="130" t="n">
        <f aca="false">IFERROR(SUMPRODUCT(MAX(('Free Fire'!$M$11:$M$34=$B61)*'Free Fire'!$G$11:$G$34)),0)</f>
        <v>200</v>
      </c>
      <c r="V61" s="130" t="n">
        <f aca="false">IFERROR(SUMPRODUCT(MAX(('EA FC 26'!$N$11:$N$46=$B61)*'EA FC 26'!$H$11:$H$46)),0)</f>
        <v>0</v>
      </c>
      <c r="W61" s="130" t="n">
        <f aca="false">IFERROR(SUMPRODUCT(MAX(('Black Ops 7'!$O$11:$O$26=$B61)*'Black Ops 7'!$J$11:$J$26)),0)</f>
        <v>0</v>
      </c>
      <c r="X61" s="130" t="n">
        <f aca="false">IFERROR(SUMPRODUCT(MAX(('Rocket League'!$P$11:$P$26=$B61)*'Rocket League'!$J$11:$J$26)),0)</f>
        <v>0</v>
      </c>
      <c r="Y61" s="130" t="n">
        <f aca="false">IFERROR(SUMPRODUCT(MAX(('Overwatch 2'!$L$11:$L$26=$B61)*'Overwatch 2'!$F$11:$F$26)),0)</f>
        <v>0</v>
      </c>
      <c r="Z61" s="130" t="n">
        <f aca="false">IFERROR(SUMPRODUCT(MAX((PUBG!$L$11:$L$34=$B61)*PUBG!$F$11:$F$34)),0)</f>
        <v>0</v>
      </c>
      <c r="AA61" s="130" t="n">
        <f aca="false">IFERROR(SUMPRODUCT(MAX(('MLBB Women'!$L$11:$L$26=$B61)*'MLBB Women'!$F$11:$F$26)),0)</f>
        <v>0</v>
      </c>
      <c r="AB61" s="130" t="n">
        <f aca="false">SUM(C61:AA61)</f>
        <v>200</v>
      </c>
      <c r="AC61" s="130" t="n">
        <v>200</v>
      </c>
      <c r="AD61" s="200" t="n">
        <f aca="false">AB61-AC61</f>
        <v>0</v>
      </c>
      <c r="AE61" s="82" t="str">
        <f aca="false">IF(AB61=0,"not started",IF(AD61=0,"reconciled",IF(AD61&gt;0,"CHECK NAMES","in progress")))</f>
        <v>reconciled</v>
      </c>
    </row>
    <row r="62" customFormat="false" ht="15" hidden="false" customHeight="true" outlineLevel="0" collapsed="false">
      <c r="B62" s="92" t="s">
        <v>224</v>
      </c>
      <c r="C62" s="130" t="n">
        <f aca="false">IFERROR(SUMIF(CS2!$L$11:$L$42,$B62,CS2!$F$11:$F$42),0)</f>
        <v>200</v>
      </c>
      <c r="D62" s="130" t="n">
        <f aca="false">IFERROR(SUMPRODUCT(MAX((Chess!$L$11:$L$32=$B62)*Chess!$F$11:$F$32)),0)</f>
        <v>0</v>
      </c>
      <c r="E62" s="130" t="n">
        <f aca="false">IFERROR(SUMPRODUCT(MAX((LoL!$L$11:$L$26=$B62)*LoL!$F$11:$F$26)),0)</f>
        <v>0</v>
      </c>
      <c r="F62" s="130" t="n">
        <f aca="false">IFERROR(SUMPRODUCT(MAX(('PUBG Mobile'!$L$11:$L$42=$B62)*'PUBG Mobile'!$F$11:$F$42)),0)</f>
        <v>0</v>
      </c>
      <c r="G62" s="130" t="n">
        <f aca="false">IFERROR(SUMPRODUCT(MAX(('Fortnite Reload'!$L$11:$L$50=$B62)*'Fortnite Reload'!$F$11:$F$50)),0)</f>
        <v>0</v>
      </c>
      <c r="H62" s="130" t="n">
        <f aca="false">IFERROR(SUMPRODUCT(MAX((Trackmania!$M$11:$M$42=$B62)*Trackmania!$G$11:$G$42)),0)</f>
        <v>0</v>
      </c>
      <c r="I62" s="130" t="n">
        <f aca="false">IFERROR(SUMPRODUCT(MAX(('Dota 2'!$N$11:$N$34=$B62)*'Dota 2'!$H$11:$H$34)),0)</f>
        <v>0</v>
      </c>
      <c r="J62" s="130" t="n">
        <f aca="false">IFERROR(SUMPRODUCT(MAX(('Tekken 8'!$N$11:$N$42=$B62)*'Tekken 8'!$H$11:$H$42)),0)</f>
        <v>0</v>
      </c>
      <c r="K62" s="130" t="n">
        <f aca="false">IFERROR(SUMPRODUCT(MAX(('Street Fighter 6'!$O$11:$O$42=$B62)*'Street Fighter 6'!$I$11:$I$42)),0)</f>
        <v>0</v>
      </c>
      <c r="L62" s="130" t="n">
        <f aca="false">IFERROR(SUMPRODUCT(MAX(('Fatal Fury CotW'!$L$11:$L$42=$B62)*'Fatal Fury CotW'!$F$11:$F$42)),0)</f>
        <v>0</v>
      </c>
      <c r="M62" s="130" t="n">
        <f aca="false">IFERROR(SUMPRODUCT(MAX((TFT!$N$11:$N$26=$B62)*TFT!$H$11:$H$26)),0)</f>
        <v>0</v>
      </c>
      <c r="N62" s="130" t="n">
        <f aca="false">IFERROR(SUMPRODUCT(MAX(('Rainbow Six'!$P$11:$P$32=$B62)*'Rainbow Six'!$J$11:$J$32)),0)</f>
        <v>0</v>
      </c>
      <c r="O62" s="130" t="n">
        <f aca="false">IFERROR(SUMPRODUCT(MAX((Warzone!$M$11:$M$42=$B62)*Warzone!$G$11:$G$42)),0)</f>
        <v>0</v>
      </c>
      <c r="P62" s="130" t="n">
        <f aca="false">IFERROR(SUMPRODUCT(MAX((Valorant!$N$11:$N$26=$B62)*Valorant!$H$11:$H$26)),0)</f>
        <v>0</v>
      </c>
      <c r="Q62" s="130" t="n">
        <f aca="false">IFERROR(SUMPRODUCT(MAX(('MLBB (MSC)'!$M$11:$M$35=$B62)*'MLBB (MSC)'!$G$11:$G$35)),0)</f>
        <v>0</v>
      </c>
      <c r="R62" s="130" t="n">
        <f aca="false">IFERROR(SUMPRODUCT(MAX(('Apex Legends'!$O$11:$O$50=$B62)*'Apex Legends'!$I$11:$I$50)),0)</f>
        <v>0</v>
      </c>
      <c r="S62" s="130" t="n">
        <f aca="false">IFERROR(SUMPRODUCT(MAX(('Honor of Kings'!$N$11:$N$30=$B62)*'Honor of Kings'!$H$11:$H$30)),0)</f>
        <v>0</v>
      </c>
      <c r="T62" s="130" t="n">
        <f aca="false">IFERROR(SUMPRODUCT(MAX((CrossFire!$L$11:$L$26=$B62)*CrossFire!$F$11:$F$26)),0)</f>
        <v>0</v>
      </c>
      <c r="U62" s="130" t="n">
        <f aca="false">IFERROR(SUMPRODUCT(MAX(('Free Fire'!$M$11:$M$34=$B62)*'Free Fire'!$G$11:$G$34)),0)</f>
        <v>0</v>
      </c>
      <c r="V62" s="130" t="n">
        <f aca="false">IFERROR(SUMPRODUCT(MAX(('EA FC 26'!$N$11:$N$46=$B62)*'EA FC 26'!$H$11:$H$46)),0)</f>
        <v>0</v>
      </c>
      <c r="W62" s="130" t="n">
        <f aca="false">IFERROR(SUMPRODUCT(MAX(('Black Ops 7'!$O$11:$O$26=$B62)*'Black Ops 7'!$J$11:$J$26)),0)</f>
        <v>0</v>
      </c>
      <c r="X62" s="130" t="n">
        <f aca="false">IFERROR(SUMPRODUCT(MAX(('Rocket League'!$P$11:$P$26=$B62)*'Rocket League'!$J$11:$J$26)),0)</f>
        <v>0</v>
      </c>
      <c r="Y62" s="130" t="n">
        <f aca="false">IFERROR(SUMPRODUCT(MAX(('Overwatch 2'!$L$11:$L$26=$B62)*'Overwatch 2'!$F$11:$F$26)),0)</f>
        <v>0</v>
      </c>
      <c r="Z62" s="130" t="n">
        <f aca="false">IFERROR(SUMPRODUCT(MAX((PUBG!$L$11:$L$34=$B62)*PUBG!$F$11:$F$34)),0)</f>
        <v>0</v>
      </c>
      <c r="AA62" s="130" t="n">
        <f aca="false">IFERROR(SUMPRODUCT(MAX(('MLBB Women'!$L$11:$L$26=$B62)*'MLBB Women'!$F$11:$F$26)),0)</f>
        <v>0</v>
      </c>
      <c r="AB62" s="130" t="n">
        <f aca="false">SUM(C62:AA62)</f>
        <v>200</v>
      </c>
      <c r="AC62" s="130" t="n">
        <v>200</v>
      </c>
      <c r="AD62" s="200" t="n">
        <f aca="false">AB62-AC62</f>
        <v>0</v>
      </c>
      <c r="AE62" s="82" t="str">
        <f aca="false">IF(AB62=0,"not started",IF(AD62=0,"reconciled",IF(AD62&gt;0,"CHECK NAMES","in progress")))</f>
        <v>reconciled</v>
      </c>
    </row>
    <row r="63" customFormat="false" ht="15" hidden="false" customHeight="true" outlineLevel="0" collapsed="false">
      <c r="B63" s="92" t="s">
        <v>131</v>
      </c>
      <c r="C63" s="130" t="n">
        <f aca="false">IFERROR(SUMIF(CS2!$L$11:$L$42,$B63,CS2!$F$11:$F$42),0)</f>
        <v>0</v>
      </c>
      <c r="D63" s="130" t="n">
        <f aca="false">IFERROR(SUMPRODUCT(MAX((Chess!$L$11:$L$32=$B63)*Chess!$F$11:$F$32)),0)</f>
        <v>200</v>
      </c>
      <c r="E63" s="130" t="n">
        <f aca="false">IFERROR(SUMPRODUCT(MAX((LoL!$L$11:$L$26=$B63)*LoL!$F$11:$F$26)),0)</f>
        <v>0</v>
      </c>
      <c r="F63" s="130" t="n">
        <f aca="false">IFERROR(SUMPRODUCT(MAX(('PUBG Mobile'!$L$11:$L$42=$B63)*'PUBG Mobile'!$F$11:$F$42)),0)</f>
        <v>0</v>
      </c>
      <c r="G63" s="130" t="n">
        <f aca="false">IFERROR(SUMPRODUCT(MAX(('Fortnite Reload'!$L$11:$L$50=$B63)*'Fortnite Reload'!$F$11:$F$50)),0)</f>
        <v>0</v>
      </c>
      <c r="H63" s="130" t="n">
        <f aca="false">IFERROR(SUMPRODUCT(MAX((Trackmania!$M$11:$M$42=$B63)*Trackmania!$G$11:$G$42)),0)</f>
        <v>0</v>
      </c>
      <c r="I63" s="130" t="n">
        <f aca="false">IFERROR(SUMPRODUCT(MAX(('Dota 2'!$N$11:$N$34=$B63)*'Dota 2'!$H$11:$H$34)),0)</f>
        <v>0</v>
      </c>
      <c r="J63" s="130" t="n">
        <f aca="false">IFERROR(SUMPRODUCT(MAX(('Tekken 8'!$N$11:$N$42=$B63)*'Tekken 8'!$H$11:$H$42)),0)</f>
        <v>0</v>
      </c>
      <c r="K63" s="130" t="n">
        <f aca="false">IFERROR(SUMPRODUCT(MAX(('Street Fighter 6'!$O$11:$O$42=$B63)*'Street Fighter 6'!$I$11:$I$42)),0)</f>
        <v>0</v>
      </c>
      <c r="L63" s="130" t="n">
        <f aca="false">IFERROR(SUMPRODUCT(MAX(('Fatal Fury CotW'!$L$11:$L$42=$B63)*'Fatal Fury CotW'!$F$11:$F$42)),0)</f>
        <v>0</v>
      </c>
      <c r="M63" s="130" t="n">
        <f aca="false">IFERROR(SUMPRODUCT(MAX((TFT!$N$11:$N$26=$B63)*TFT!$H$11:$H$26)),0)</f>
        <v>0</v>
      </c>
      <c r="N63" s="130" t="n">
        <f aca="false">IFERROR(SUMPRODUCT(MAX(('Rainbow Six'!$P$11:$P$32=$B63)*'Rainbow Six'!$J$11:$J$32)),0)</f>
        <v>0</v>
      </c>
      <c r="O63" s="130" t="n">
        <f aca="false">IFERROR(SUMPRODUCT(MAX((Warzone!$M$11:$M$42=$B63)*Warzone!$G$11:$G$42)),0)</f>
        <v>0</v>
      </c>
      <c r="P63" s="130" t="n">
        <f aca="false">IFERROR(SUMPRODUCT(MAX((Valorant!$N$11:$N$26=$B63)*Valorant!$H$11:$H$26)),0)</f>
        <v>0</v>
      </c>
      <c r="Q63" s="130" t="n">
        <f aca="false">IFERROR(SUMPRODUCT(MAX(('MLBB (MSC)'!$M$11:$M$35=$B63)*'MLBB (MSC)'!$G$11:$G$35)),0)</f>
        <v>0</v>
      </c>
      <c r="R63" s="130" t="n">
        <f aca="false">IFERROR(SUMPRODUCT(MAX(('Apex Legends'!$O$11:$O$50=$B63)*'Apex Legends'!$I$11:$I$50)),0)</f>
        <v>0</v>
      </c>
      <c r="S63" s="130" t="n">
        <f aca="false">IFERROR(SUMPRODUCT(MAX(('Honor of Kings'!$N$11:$N$30=$B63)*'Honor of Kings'!$H$11:$H$30)),0)</f>
        <v>0</v>
      </c>
      <c r="T63" s="130" t="n">
        <f aca="false">IFERROR(SUMPRODUCT(MAX((CrossFire!$L$11:$L$26=$B63)*CrossFire!$F$11:$F$26)),0)</f>
        <v>0</v>
      </c>
      <c r="U63" s="130" t="n">
        <f aca="false">IFERROR(SUMPRODUCT(MAX(('Free Fire'!$M$11:$M$34=$B63)*'Free Fire'!$G$11:$G$34)),0)</f>
        <v>0</v>
      </c>
      <c r="V63" s="130" t="n">
        <f aca="false">IFERROR(SUMPRODUCT(MAX(('EA FC 26'!$N$11:$N$46=$B63)*'EA FC 26'!$H$11:$H$46)),0)</f>
        <v>0</v>
      </c>
      <c r="W63" s="130" t="n">
        <f aca="false">IFERROR(SUMPRODUCT(MAX(('Black Ops 7'!$O$11:$O$26=$B63)*'Black Ops 7'!$J$11:$J$26)),0)</f>
        <v>0</v>
      </c>
      <c r="X63" s="130" t="n">
        <f aca="false">IFERROR(SUMPRODUCT(MAX(('Rocket League'!$P$11:$P$26=$B63)*'Rocket League'!$J$11:$J$26)),0)</f>
        <v>0</v>
      </c>
      <c r="Y63" s="130" t="n">
        <f aca="false">IFERROR(SUMPRODUCT(MAX(('Overwatch 2'!$L$11:$L$26=$B63)*'Overwatch 2'!$F$11:$F$26)),0)</f>
        <v>0</v>
      </c>
      <c r="Z63" s="130" t="n">
        <f aca="false">IFERROR(SUMPRODUCT(MAX((PUBG!$L$11:$L$34=$B63)*PUBG!$F$11:$F$34)),0)</f>
        <v>0</v>
      </c>
      <c r="AA63" s="130" t="n">
        <f aca="false">IFERROR(SUMPRODUCT(MAX(('MLBB Women'!$L$11:$L$26=$B63)*'MLBB Women'!$F$11:$F$26)),0)</f>
        <v>0</v>
      </c>
      <c r="AB63" s="130" t="n">
        <f aca="false">SUM(C63:AA63)</f>
        <v>200</v>
      </c>
      <c r="AC63" s="130" t="n">
        <v>200</v>
      </c>
      <c r="AD63" s="200" t="n">
        <f aca="false">AB63-AC63</f>
        <v>0</v>
      </c>
      <c r="AE63" s="82" t="str">
        <f aca="false">IF(AB63=0,"not started",IF(AD63=0,"reconciled",IF(AD63&gt;0,"CHECK NAMES","in progress")))</f>
        <v>reconciled</v>
      </c>
    </row>
    <row r="64" customFormat="false" ht="15" hidden="false" customHeight="true" outlineLevel="0" collapsed="false">
      <c r="B64" s="92" t="s">
        <v>567</v>
      </c>
      <c r="C64" s="130" t="n">
        <f aca="false">IFERROR(SUMIF(CS2!$L$11:$L$42,$B64,CS2!$F$11:$F$42),0)</f>
        <v>0</v>
      </c>
      <c r="D64" s="130" t="n">
        <f aca="false">IFERROR(SUMPRODUCT(MAX((Chess!$L$11:$L$32=$B64)*Chess!$F$11:$F$32)),0)</f>
        <v>0</v>
      </c>
      <c r="E64" s="130" t="n">
        <f aca="false">IFERROR(SUMPRODUCT(MAX((LoL!$L$11:$L$26=$B64)*LoL!$F$11:$F$26)),0)</f>
        <v>0</v>
      </c>
      <c r="F64" s="130" t="n">
        <f aca="false">IFERROR(SUMPRODUCT(MAX(('PUBG Mobile'!$L$11:$L$42=$B64)*'PUBG Mobile'!$F$11:$F$42)),0)</f>
        <v>0</v>
      </c>
      <c r="G64" s="130" t="n">
        <f aca="false">IFERROR(SUMPRODUCT(MAX(('Fortnite Reload'!$L$11:$L$50=$B64)*'Fortnite Reload'!$F$11:$F$50)),0)</f>
        <v>0</v>
      </c>
      <c r="H64" s="130" t="n">
        <f aca="false">IFERROR(SUMPRODUCT(MAX((Trackmania!$M$11:$M$42=$B64)*Trackmania!$G$11:$G$42)),0)</f>
        <v>0</v>
      </c>
      <c r="I64" s="130" t="n">
        <f aca="false">IFERROR(SUMPRODUCT(MAX(('Dota 2'!$N$11:$N$34=$B64)*'Dota 2'!$H$11:$H$34)),0)</f>
        <v>0</v>
      </c>
      <c r="J64" s="130" t="n">
        <f aca="false">IFERROR(SUMPRODUCT(MAX(('Tekken 8'!$N$11:$N$42=$B64)*'Tekken 8'!$H$11:$H$42)),0)</f>
        <v>0</v>
      </c>
      <c r="K64" s="130" t="n">
        <f aca="false">IFERROR(SUMPRODUCT(MAX(('Street Fighter 6'!$O$11:$O$42=$B64)*'Street Fighter 6'!$I$11:$I$42)),0)</f>
        <v>0</v>
      </c>
      <c r="L64" s="130" t="n">
        <f aca="false">IFERROR(SUMPRODUCT(MAX(('Fatal Fury CotW'!$L$11:$L$42=$B64)*'Fatal Fury CotW'!$F$11:$F$42)),0)</f>
        <v>0</v>
      </c>
      <c r="M64" s="130" t="n">
        <f aca="false">IFERROR(SUMPRODUCT(MAX((TFT!$N$11:$N$26=$B64)*TFT!$H$11:$H$26)),0)</f>
        <v>0</v>
      </c>
      <c r="N64" s="130" t="n">
        <f aca="false">IFERROR(SUMPRODUCT(MAX(('Rainbow Six'!$P$11:$P$32=$B64)*'Rainbow Six'!$J$11:$J$32)),0)</f>
        <v>200</v>
      </c>
      <c r="O64" s="130" t="n">
        <f aca="false">IFERROR(SUMPRODUCT(MAX((Warzone!$M$11:$M$42=$B64)*Warzone!$G$11:$G$42)),0)</f>
        <v>0</v>
      </c>
      <c r="P64" s="130" t="n">
        <f aca="false">IFERROR(SUMPRODUCT(MAX((Valorant!$N$11:$N$26=$B64)*Valorant!$H$11:$H$26)),0)</f>
        <v>0</v>
      </c>
      <c r="Q64" s="130" t="n">
        <f aca="false">IFERROR(SUMPRODUCT(MAX(('MLBB (MSC)'!$M$11:$M$35=$B64)*'MLBB (MSC)'!$G$11:$G$35)),0)</f>
        <v>0</v>
      </c>
      <c r="R64" s="130" t="n">
        <f aca="false">IFERROR(SUMPRODUCT(MAX(('Apex Legends'!$O$11:$O$50=$B64)*'Apex Legends'!$I$11:$I$50)),0)</f>
        <v>0</v>
      </c>
      <c r="S64" s="130" t="n">
        <f aca="false">IFERROR(SUMPRODUCT(MAX(('Honor of Kings'!$N$11:$N$30=$B64)*'Honor of Kings'!$H$11:$H$30)),0)</f>
        <v>0</v>
      </c>
      <c r="T64" s="130" t="n">
        <f aca="false">IFERROR(SUMPRODUCT(MAX((CrossFire!$L$11:$L$26=$B64)*CrossFire!$F$11:$F$26)),0)</f>
        <v>0</v>
      </c>
      <c r="U64" s="130" t="n">
        <f aca="false">IFERROR(SUMPRODUCT(MAX(('Free Fire'!$M$11:$M$34=$B64)*'Free Fire'!$G$11:$G$34)),0)</f>
        <v>0</v>
      </c>
      <c r="V64" s="130" t="n">
        <f aca="false">IFERROR(SUMPRODUCT(MAX(('EA FC 26'!$N$11:$N$46=$B64)*'EA FC 26'!$H$11:$H$46)),0)</f>
        <v>0</v>
      </c>
      <c r="W64" s="130" t="n">
        <f aca="false">IFERROR(SUMPRODUCT(MAX(('Black Ops 7'!$O$11:$O$26=$B64)*'Black Ops 7'!$J$11:$J$26)),0)</f>
        <v>0</v>
      </c>
      <c r="X64" s="130" t="n">
        <f aca="false">IFERROR(SUMPRODUCT(MAX(('Rocket League'!$P$11:$P$26=$B64)*'Rocket League'!$J$11:$J$26)),0)</f>
        <v>0</v>
      </c>
      <c r="Y64" s="130" t="n">
        <f aca="false">IFERROR(SUMPRODUCT(MAX(('Overwatch 2'!$L$11:$L$26=$B64)*'Overwatch 2'!$F$11:$F$26)),0)</f>
        <v>0</v>
      </c>
      <c r="Z64" s="130" t="n">
        <f aca="false">IFERROR(SUMPRODUCT(MAX((PUBG!$L$11:$L$34=$B64)*PUBG!$F$11:$F$34)),0)</f>
        <v>0</v>
      </c>
      <c r="AA64" s="130" t="n">
        <f aca="false">IFERROR(SUMPRODUCT(MAX(('MLBB Women'!$L$11:$L$26=$B64)*'MLBB Women'!$F$11:$F$26)),0)</f>
        <v>0</v>
      </c>
      <c r="AB64" s="130" t="n">
        <f aca="false">SUM(C64:AA64)</f>
        <v>200</v>
      </c>
      <c r="AC64" s="130" t="n">
        <v>200</v>
      </c>
      <c r="AD64" s="200" t="n">
        <f aca="false">AB64-AC64</f>
        <v>0</v>
      </c>
      <c r="AE64" s="82" t="str">
        <f aca="false">IF(AB64=0,"not started",IF(AD64=0,"reconciled",IF(AD64&gt;0,"CHECK NAMES","in progress")))</f>
        <v>reconciled</v>
      </c>
    </row>
    <row r="65" customFormat="false" ht="15" hidden="false" customHeight="true" outlineLevel="0" collapsed="false">
      <c r="B65" s="92" t="s">
        <v>348</v>
      </c>
      <c r="C65" s="130" t="n">
        <f aca="false">IFERROR(SUMIF(CS2!$L$11:$L$42,$B65,CS2!$F$11:$F$42),0)</f>
        <v>0</v>
      </c>
      <c r="D65" s="130" t="n">
        <f aca="false">IFERROR(SUMPRODUCT(MAX((Chess!$L$11:$L$32=$B65)*Chess!$F$11:$F$32)),0)</f>
        <v>0</v>
      </c>
      <c r="E65" s="130" t="n">
        <f aca="false">IFERROR(SUMPRODUCT(MAX((LoL!$L$11:$L$26=$B65)*LoL!$F$11:$F$26)),0)</f>
        <v>200</v>
      </c>
      <c r="F65" s="130" t="n">
        <f aca="false">IFERROR(SUMPRODUCT(MAX(('PUBG Mobile'!$L$11:$L$42=$B65)*'PUBG Mobile'!$F$11:$F$42)),0)</f>
        <v>0</v>
      </c>
      <c r="G65" s="130" t="n">
        <f aca="false">IFERROR(SUMPRODUCT(MAX(('Fortnite Reload'!$L$11:$L$50=$B65)*'Fortnite Reload'!$F$11:$F$50)),0)</f>
        <v>0</v>
      </c>
      <c r="H65" s="130" t="n">
        <f aca="false">IFERROR(SUMPRODUCT(MAX((Trackmania!$M$11:$M$42=$B65)*Trackmania!$G$11:$G$42)),0)</f>
        <v>0</v>
      </c>
      <c r="I65" s="130" t="n">
        <f aca="false">IFERROR(SUMPRODUCT(MAX(('Dota 2'!$N$11:$N$34=$B65)*'Dota 2'!$H$11:$H$34)),0)</f>
        <v>0</v>
      </c>
      <c r="J65" s="130" t="n">
        <f aca="false">IFERROR(SUMPRODUCT(MAX(('Tekken 8'!$N$11:$N$42=$B65)*'Tekken 8'!$H$11:$H$42)),0)</f>
        <v>0</v>
      </c>
      <c r="K65" s="130" t="n">
        <f aca="false">IFERROR(SUMPRODUCT(MAX(('Street Fighter 6'!$O$11:$O$42=$B65)*'Street Fighter 6'!$I$11:$I$42)),0)</f>
        <v>0</v>
      </c>
      <c r="L65" s="130" t="n">
        <f aca="false">IFERROR(SUMPRODUCT(MAX(('Fatal Fury CotW'!$L$11:$L$42=$B65)*'Fatal Fury CotW'!$F$11:$F$42)),0)</f>
        <v>0</v>
      </c>
      <c r="M65" s="130" t="n">
        <f aca="false">IFERROR(SUMPRODUCT(MAX((TFT!$N$11:$N$26=$B65)*TFT!$H$11:$H$26)),0)</f>
        <v>0</v>
      </c>
      <c r="N65" s="130" t="n">
        <f aca="false">IFERROR(SUMPRODUCT(MAX(('Rainbow Six'!$P$11:$P$32=$B65)*'Rainbow Six'!$J$11:$J$32)),0)</f>
        <v>0</v>
      </c>
      <c r="O65" s="130" t="n">
        <f aca="false">IFERROR(SUMPRODUCT(MAX((Warzone!$M$11:$M$42=$B65)*Warzone!$G$11:$G$42)),0)</f>
        <v>0</v>
      </c>
      <c r="P65" s="130" t="n">
        <f aca="false">IFERROR(SUMPRODUCT(MAX((Valorant!$N$11:$N$26=$B65)*Valorant!$H$11:$H$26)),0)</f>
        <v>0</v>
      </c>
      <c r="Q65" s="130" t="n">
        <f aca="false">IFERROR(SUMPRODUCT(MAX(('MLBB (MSC)'!$M$11:$M$35=$B65)*'MLBB (MSC)'!$G$11:$G$35)),0)</f>
        <v>0</v>
      </c>
      <c r="R65" s="130" t="n">
        <f aca="false">IFERROR(SUMPRODUCT(MAX(('Apex Legends'!$O$11:$O$50=$B65)*'Apex Legends'!$I$11:$I$50)),0)</f>
        <v>0</v>
      </c>
      <c r="S65" s="130" t="n">
        <f aca="false">IFERROR(SUMPRODUCT(MAX(('Honor of Kings'!$N$11:$N$30=$B65)*'Honor of Kings'!$H$11:$H$30)),0)</f>
        <v>0</v>
      </c>
      <c r="T65" s="130" t="n">
        <f aca="false">IFERROR(SUMPRODUCT(MAX((CrossFire!$L$11:$L$26=$B65)*CrossFire!$F$11:$F$26)),0)</f>
        <v>0</v>
      </c>
      <c r="U65" s="130" t="n">
        <f aca="false">IFERROR(SUMPRODUCT(MAX(('Free Fire'!$M$11:$M$34=$B65)*'Free Fire'!$G$11:$G$34)),0)</f>
        <v>0</v>
      </c>
      <c r="V65" s="130" t="n">
        <f aca="false">IFERROR(SUMPRODUCT(MAX(('EA FC 26'!$N$11:$N$46=$B65)*'EA FC 26'!$H$11:$H$46)),0)</f>
        <v>0</v>
      </c>
      <c r="W65" s="130" t="n">
        <f aca="false">IFERROR(SUMPRODUCT(MAX(('Black Ops 7'!$O$11:$O$26=$B65)*'Black Ops 7'!$J$11:$J$26)),0)</f>
        <v>0</v>
      </c>
      <c r="X65" s="130" t="n">
        <f aca="false">IFERROR(SUMPRODUCT(MAX(('Rocket League'!$P$11:$P$26=$B65)*'Rocket League'!$J$11:$J$26)),0)</f>
        <v>0</v>
      </c>
      <c r="Y65" s="130" t="n">
        <f aca="false">IFERROR(SUMPRODUCT(MAX(('Overwatch 2'!$L$11:$L$26=$B65)*'Overwatch 2'!$F$11:$F$26)),0)</f>
        <v>0</v>
      </c>
      <c r="Z65" s="130" t="n">
        <f aca="false">IFERROR(SUMPRODUCT(MAX((PUBG!$L$11:$L$34=$B65)*PUBG!$F$11:$F$34)),0)</f>
        <v>0</v>
      </c>
      <c r="AA65" s="130" t="n">
        <f aca="false">IFERROR(SUMPRODUCT(MAX(('MLBB Women'!$L$11:$L$26=$B65)*'MLBB Women'!$F$11:$F$26)),0)</f>
        <v>0</v>
      </c>
      <c r="AB65" s="130" t="n">
        <f aca="false">SUM(C65:AA65)</f>
        <v>200</v>
      </c>
      <c r="AC65" s="130" t="n">
        <v>200</v>
      </c>
      <c r="AD65" s="200" t="n">
        <f aca="false">AB65-AC65</f>
        <v>0</v>
      </c>
      <c r="AE65" s="82" t="str">
        <f aca="false">IF(AB65=0,"not started",IF(AD65=0,"reconciled",IF(AD65&gt;0,"CHECK NAMES","in progress")))</f>
        <v>reconciled</v>
      </c>
    </row>
    <row r="66" customFormat="false" ht="15" hidden="false" customHeight="true" outlineLevel="0" collapsed="false">
      <c r="B66" s="92" t="s">
        <v>237</v>
      </c>
      <c r="C66" s="130" t="n">
        <f aca="false">IFERROR(SUMIF(CS2!$L$11:$L$42,$B66,CS2!$F$11:$F$42),0)</f>
        <v>0</v>
      </c>
      <c r="D66" s="130" t="n">
        <f aca="false">IFERROR(SUMPRODUCT(MAX((Chess!$L$11:$L$32=$B66)*Chess!$F$11:$F$32)),0)</f>
        <v>0</v>
      </c>
      <c r="E66" s="130" t="n">
        <f aca="false">IFERROR(SUMPRODUCT(MAX((LoL!$L$11:$L$26=$B66)*LoL!$F$11:$F$26)),0)</f>
        <v>0</v>
      </c>
      <c r="F66" s="130" t="n">
        <f aca="false">IFERROR(SUMPRODUCT(MAX(('PUBG Mobile'!$L$11:$L$42=$B66)*'PUBG Mobile'!$F$11:$F$42)),0)</f>
        <v>0</v>
      </c>
      <c r="G66" s="130" t="n">
        <f aca="false">IFERROR(SUMPRODUCT(MAX(('Fortnite Reload'!$L$11:$L$50=$B66)*'Fortnite Reload'!$F$11:$F$50)),0)</f>
        <v>0</v>
      </c>
      <c r="H66" s="130" t="n">
        <f aca="false">IFERROR(SUMPRODUCT(MAX((Trackmania!$M$11:$M$42=$B66)*Trackmania!$G$11:$G$42)),0)</f>
        <v>0</v>
      </c>
      <c r="I66" s="130" t="n">
        <f aca="false">IFERROR(SUMPRODUCT(MAX(('Dota 2'!$N$11:$N$34=$B66)*'Dota 2'!$H$11:$H$34)),0)</f>
        <v>0</v>
      </c>
      <c r="J66" s="130" t="n">
        <f aca="false">IFERROR(SUMPRODUCT(MAX(('Tekken 8'!$N$11:$N$42=$B66)*'Tekken 8'!$H$11:$H$42)),0)</f>
        <v>0</v>
      </c>
      <c r="K66" s="130" t="n">
        <f aca="false">IFERROR(SUMPRODUCT(MAX(('Street Fighter 6'!$O$11:$O$42=$B66)*'Street Fighter 6'!$I$11:$I$42)),0)</f>
        <v>0</v>
      </c>
      <c r="L66" s="130" t="n">
        <f aca="false">IFERROR(SUMPRODUCT(MAX(('Fatal Fury CotW'!$L$11:$L$42=$B66)*'Fatal Fury CotW'!$F$11:$F$42)),0)</f>
        <v>0</v>
      </c>
      <c r="M66" s="130" t="n">
        <f aca="false">IFERROR(SUMPRODUCT(MAX((TFT!$N$11:$N$26=$B66)*TFT!$H$11:$H$26)),0)</f>
        <v>0</v>
      </c>
      <c r="N66" s="130" t="n">
        <f aca="false">IFERROR(SUMPRODUCT(MAX(('Rainbow Six'!$P$11:$P$32=$B66)*'Rainbow Six'!$J$11:$J$32)),0)</f>
        <v>0</v>
      </c>
      <c r="O66" s="130" t="n">
        <f aca="false">IFERROR(SUMPRODUCT(MAX((Warzone!$M$11:$M$42=$B66)*Warzone!$G$11:$G$42)),0)</f>
        <v>0</v>
      </c>
      <c r="P66" s="130" t="n">
        <f aca="false">IFERROR(SUMPRODUCT(MAX((Valorant!$N$11:$N$26=$B66)*Valorant!$H$11:$H$26)),0)</f>
        <v>0</v>
      </c>
      <c r="Q66" s="130" t="n">
        <f aca="false">IFERROR(SUMPRODUCT(MAX(('MLBB (MSC)'!$M$11:$M$35=$B66)*'MLBB (MSC)'!$G$11:$G$35)),0)</f>
        <v>0</v>
      </c>
      <c r="R66" s="130" t="n">
        <f aca="false">IFERROR(SUMPRODUCT(MAX(('Apex Legends'!$O$11:$O$50=$B66)*'Apex Legends'!$I$11:$I$50)),0)</f>
        <v>0</v>
      </c>
      <c r="S66" s="130" t="n">
        <f aca="false">IFERROR(SUMPRODUCT(MAX(('Honor of Kings'!$N$11:$N$30=$B66)*'Honor of Kings'!$H$11:$H$30)),0)</f>
        <v>0</v>
      </c>
      <c r="T66" s="130" t="n">
        <f aca="false">IFERROR(SUMPRODUCT(MAX((CrossFire!$L$11:$L$26=$B66)*CrossFire!$F$11:$F$26)),0)</f>
        <v>0</v>
      </c>
      <c r="U66" s="130" t="n">
        <f aca="false">IFERROR(SUMPRODUCT(MAX(('Free Fire'!$M$11:$M$34=$B66)*'Free Fire'!$G$11:$G$34)),0)</f>
        <v>0</v>
      </c>
      <c r="V66" s="130" t="n">
        <f aca="false">IFERROR(SUMPRODUCT(MAX(('EA FC 26'!$N$11:$N$46=$B66)*'EA FC 26'!$H$11:$H$46)),0)</f>
        <v>0</v>
      </c>
      <c r="W66" s="130" t="n">
        <f aca="false">IFERROR(SUMPRODUCT(MAX(('Black Ops 7'!$O$11:$O$26=$B66)*'Black Ops 7'!$J$11:$J$26)),0)</f>
        <v>0</v>
      </c>
      <c r="X66" s="130" t="n">
        <f aca="false">IFERROR(SUMPRODUCT(MAX(('Rocket League'!$P$11:$P$26=$B66)*'Rocket League'!$J$11:$J$26)),0)</f>
        <v>0</v>
      </c>
      <c r="Y66" s="130" t="n">
        <f aca="false">IFERROR(SUMPRODUCT(MAX(('Overwatch 2'!$L$11:$L$26=$B66)*'Overwatch 2'!$F$11:$F$26)),0)</f>
        <v>200</v>
      </c>
      <c r="Z66" s="130" t="n">
        <f aca="false">IFERROR(SUMPRODUCT(MAX((PUBG!$L$11:$L$34=$B66)*PUBG!$F$11:$F$34)),0)</f>
        <v>0</v>
      </c>
      <c r="AA66" s="130" t="n">
        <f aca="false">IFERROR(SUMPRODUCT(MAX(('MLBB Women'!$L$11:$L$26=$B66)*'MLBB Women'!$F$11:$F$26)),0)</f>
        <v>0</v>
      </c>
      <c r="AB66" s="130" t="n">
        <f aca="false">SUM(C66:AA66)</f>
        <v>200</v>
      </c>
      <c r="AC66" s="130" t="n">
        <v>200</v>
      </c>
      <c r="AD66" s="200" t="n">
        <f aca="false">AB66-AC66</f>
        <v>0</v>
      </c>
      <c r="AE66" s="82" t="str">
        <f aca="false">IF(AB66=0,"not started",IF(AD66=0,"reconciled",IF(AD66&gt;0,"CHECK NAMES","in progress")))</f>
        <v>reconciled</v>
      </c>
    </row>
    <row r="67" customFormat="false" ht="15" hidden="false" customHeight="true" outlineLevel="0" collapsed="false">
      <c r="B67" s="92" t="s">
        <v>316</v>
      </c>
      <c r="C67" s="130" t="n">
        <f aca="false">IFERROR(SUMIF(CS2!$L$11:$L$42,$B67,CS2!$F$11:$F$42),0)</f>
        <v>0</v>
      </c>
      <c r="D67" s="130" t="n">
        <f aca="false">IFERROR(SUMPRODUCT(MAX((Chess!$L$11:$L$32=$B67)*Chess!$F$11:$F$32)),0)</f>
        <v>0</v>
      </c>
      <c r="E67" s="130" t="n">
        <f aca="false">IFERROR(SUMPRODUCT(MAX((LoL!$L$11:$L$26=$B67)*LoL!$F$11:$F$26)),0)</f>
        <v>0</v>
      </c>
      <c r="F67" s="130" t="n">
        <f aca="false">IFERROR(SUMPRODUCT(MAX(('PUBG Mobile'!$L$11:$L$42=$B67)*'PUBG Mobile'!$F$11:$F$42)),0)</f>
        <v>0</v>
      </c>
      <c r="G67" s="130" t="n">
        <f aca="false">IFERROR(SUMPRODUCT(MAX(('Fortnite Reload'!$L$11:$L$50=$B67)*'Fortnite Reload'!$F$11:$F$50)),0)</f>
        <v>0</v>
      </c>
      <c r="H67" s="130" t="n">
        <f aca="false">IFERROR(SUMPRODUCT(MAX((Trackmania!$M$11:$M$42=$B67)*Trackmania!$G$11:$G$42)),0)</f>
        <v>0</v>
      </c>
      <c r="I67" s="130" t="n">
        <f aca="false">IFERROR(SUMPRODUCT(MAX(('Dota 2'!$N$11:$N$34=$B67)*'Dota 2'!$H$11:$H$34)),0)</f>
        <v>0</v>
      </c>
      <c r="J67" s="130" t="n">
        <f aca="false">IFERROR(SUMPRODUCT(MAX(('Tekken 8'!$N$11:$N$42=$B67)*'Tekken 8'!$H$11:$H$42)),0)</f>
        <v>0</v>
      </c>
      <c r="K67" s="130" t="n">
        <f aca="false">IFERROR(SUMPRODUCT(MAX(('Street Fighter 6'!$O$11:$O$42=$B67)*'Street Fighter 6'!$I$11:$I$42)),0)</f>
        <v>0</v>
      </c>
      <c r="L67" s="130" t="n">
        <f aca="false">IFERROR(SUMPRODUCT(MAX(('Fatal Fury CotW'!$L$11:$L$42=$B67)*'Fatal Fury CotW'!$F$11:$F$42)),0)</f>
        <v>200</v>
      </c>
      <c r="M67" s="130" t="n">
        <f aca="false">IFERROR(SUMPRODUCT(MAX((TFT!$N$11:$N$26=$B67)*TFT!$H$11:$H$26)),0)</f>
        <v>0</v>
      </c>
      <c r="N67" s="130" t="n">
        <f aca="false">IFERROR(SUMPRODUCT(MAX(('Rainbow Six'!$P$11:$P$32=$B67)*'Rainbow Six'!$J$11:$J$32)),0)</f>
        <v>0</v>
      </c>
      <c r="O67" s="130" t="n">
        <f aca="false">IFERROR(SUMPRODUCT(MAX((Warzone!$M$11:$M$42=$B67)*Warzone!$G$11:$G$42)),0)</f>
        <v>0</v>
      </c>
      <c r="P67" s="130" t="n">
        <f aca="false">IFERROR(SUMPRODUCT(MAX((Valorant!$N$11:$N$26=$B67)*Valorant!$H$11:$H$26)),0)</f>
        <v>0</v>
      </c>
      <c r="Q67" s="130" t="n">
        <f aca="false">IFERROR(SUMPRODUCT(MAX(('MLBB (MSC)'!$M$11:$M$35=$B67)*'MLBB (MSC)'!$G$11:$G$35)),0)</f>
        <v>0</v>
      </c>
      <c r="R67" s="130" t="n">
        <f aca="false">IFERROR(SUMPRODUCT(MAX(('Apex Legends'!$O$11:$O$50=$B67)*'Apex Legends'!$I$11:$I$50)),0)</f>
        <v>0</v>
      </c>
      <c r="S67" s="130" t="n">
        <f aca="false">IFERROR(SUMPRODUCT(MAX(('Honor of Kings'!$N$11:$N$30=$B67)*'Honor of Kings'!$H$11:$H$30)),0)</f>
        <v>0</v>
      </c>
      <c r="T67" s="130" t="n">
        <f aca="false">IFERROR(SUMPRODUCT(MAX((CrossFire!$L$11:$L$26=$B67)*CrossFire!$F$11:$F$26)),0)</f>
        <v>0</v>
      </c>
      <c r="U67" s="130" t="n">
        <f aca="false">IFERROR(SUMPRODUCT(MAX(('Free Fire'!$M$11:$M$34=$B67)*'Free Fire'!$G$11:$G$34)),0)</f>
        <v>0</v>
      </c>
      <c r="V67" s="130" t="n">
        <f aca="false">IFERROR(SUMPRODUCT(MAX(('EA FC 26'!$N$11:$N$46=$B67)*'EA FC 26'!$H$11:$H$46)),0)</f>
        <v>0</v>
      </c>
      <c r="W67" s="130" t="n">
        <f aca="false">IFERROR(SUMPRODUCT(MAX(('Black Ops 7'!$O$11:$O$26=$B67)*'Black Ops 7'!$J$11:$J$26)),0)</f>
        <v>0</v>
      </c>
      <c r="X67" s="130" t="n">
        <f aca="false">IFERROR(SUMPRODUCT(MAX(('Rocket League'!$P$11:$P$26=$B67)*'Rocket League'!$J$11:$J$26)),0)</f>
        <v>0</v>
      </c>
      <c r="Y67" s="130" t="n">
        <f aca="false">IFERROR(SUMPRODUCT(MAX(('Overwatch 2'!$L$11:$L$26=$B67)*'Overwatch 2'!$F$11:$F$26)),0)</f>
        <v>0</v>
      </c>
      <c r="Z67" s="130" t="n">
        <f aca="false">IFERROR(SUMPRODUCT(MAX((PUBG!$L$11:$L$34=$B67)*PUBG!$F$11:$F$34)),0)</f>
        <v>0</v>
      </c>
      <c r="AA67" s="130" t="n">
        <f aca="false">IFERROR(SUMPRODUCT(MAX(('MLBB Women'!$L$11:$L$26=$B67)*'MLBB Women'!$F$11:$F$26)),0)</f>
        <v>0</v>
      </c>
      <c r="AB67" s="130" t="n">
        <f aca="false">SUM(C67:AA67)</f>
        <v>200</v>
      </c>
      <c r="AC67" s="130" t="n">
        <v>200</v>
      </c>
      <c r="AD67" s="200" t="n">
        <f aca="false">AB67-AC67</f>
        <v>0</v>
      </c>
      <c r="AE67" s="82" t="str">
        <f aca="false">IF(AB67=0,"not started",IF(AD67=0,"reconciled",IF(AD67&gt;0,"CHECK NAMES","in progress")))</f>
        <v>reconciled</v>
      </c>
    </row>
    <row r="68" customFormat="false" ht="15" hidden="false" customHeight="true" outlineLevel="0" collapsed="false">
      <c r="B68" s="92" t="s">
        <v>294</v>
      </c>
      <c r="C68" s="130" t="n">
        <f aca="false">IFERROR(SUMIF(CS2!$L$11:$L$42,$B68,CS2!$F$11:$F$42),0)</f>
        <v>0</v>
      </c>
      <c r="D68" s="130" t="n">
        <f aca="false">IFERROR(SUMPRODUCT(MAX((Chess!$L$11:$L$32=$B68)*Chess!$F$11:$F$32)),0)</f>
        <v>0</v>
      </c>
      <c r="E68" s="130" t="n">
        <f aca="false">IFERROR(SUMPRODUCT(MAX((LoL!$L$11:$L$26=$B68)*LoL!$F$11:$F$26)),0)</f>
        <v>0</v>
      </c>
      <c r="F68" s="130" t="n">
        <f aca="false">IFERROR(SUMPRODUCT(MAX(('PUBG Mobile'!$L$11:$L$42=$B68)*'PUBG Mobile'!$F$11:$F$42)),0)</f>
        <v>0</v>
      </c>
      <c r="G68" s="130" t="n">
        <f aca="false">IFERROR(SUMPRODUCT(MAX(('Fortnite Reload'!$L$11:$L$50=$B68)*'Fortnite Reload'!$F$11:$F$50)),0)</f>
        <v>0</v>
      </c>
      <c r="H68" s="130" t="n">
        <f aca="false">IFERROR(SUMPRODUCT(MAX((Trackmania!$M$11:$M$42=$B68)*Trackmania!$G$11:$G$42)),0)</f>
        <v>0</v>
      </c>
      <c r="I68" s="130" t="n">
        <f aca="false">IFERROR(SUMPRODUCT(MAX(('Dota 2'!$N$11:$N$34=$B68)*'Dota 2'!$H$11:$H$34)),0)</f>
        <v>0</v>
      </c>
      <c r="J68" s="130" t="n">
        <f aca="false">IFERROR(SUMPRODUCT(MAX(('Tekken 8'!$N$11:$N$42=$B68)*'Tekken 8'!$H$11:$H$42)),0)</f>
        <v>0</v>
      </c>
      <c r="K68" s="130" t="n">
        <f aca="false">IFERROR(SUMPRODUCT(MAX(('Street Fighter 6'!$O$11:$O$42=$B68)*'Street Fighter 6'!$I$11:$I$42)),0)</f>
        <v>0</v>
      </c>
      <c r="L68" s="130" t="n">
        <f aca="false">IFERROR(SUMPRODUCT(MAX(('Fatal Fury CotW'!$L$11:$L$42=$B68)*'Fatal Fury CotW'!$F$11:$F$42)),0)</f>
        <v>0</v>
      </c>
      <c r="M68" s="130" t="n">
        <f aca="false">IFERROR(SUMPRODUCT(MAX((TFT!$N$11:$N$26=$B68)*TFT!$H$11:$H$26)),0)</f>
        <v>0</v>
      </c>
      <c r="N68" s="130" t="n">
        <f aca="false">IFERROR(SUMPRODUCT(MAX(('Rainbow Six'!$P$11:$P$32=$B68)*'Rainbow Six'!$J$11:$J$32)),0)</f>
        <v>0</v>
      </c>
      <c r="O68" s="130" t="n">
        <f aca="false">IFERROR(SUMPRODUCT(MAX((Warzone!$M$11:$M$42=$B68)*Warzone!$G$11:$G$42)),0)</f>
        <v>0</v>
      </c>
      <c r="P68" s="130" t="n">
        <f aca="false">IFERROR(SUMPRODUCT(MAX((Valorant!$N$11:$N$26=$B68)*Valorant!$H$11:$H$26)),0)</f>
        <v>0</v>
      </c>
      <c r="Q68" s="130" t="n">
        <f aca="false">IFERROR(SUMPRODUCT(MAX(('MLBB (MSC)'!$M$11:$M$35=$B68)*'MLBB (MSC)'!$G$11:$G$35)),0)</f>
        <v>0</v>
      </c>
      <c r="R68" s="130" t="n">
        <f aca="false">IFERROR(SUMPRODUCT(MAX(('Apex Legends'!$O$11:$O$50=$B68)*'Apex Legends'!$I$11:$I$50)),0)</f>
        <v>0</v>
      </c>
      <c r="S68" s="130" t="n">
        <f aca="false">IFERROR(SUMPRODUCT(MAX(('Honor of Kings'!$N$11:$N$30=$B68)*'Honor of Kings'!$H$11:$H$30)),0)</f>
        <v>0</v>
      </c>
      <c r="T68" s="130" t="n">
        <f aca="false">IFERROR(SUMPRODUCT(MAX((CrossFire!$L$11:$L$26=$B68)*CrossFire!$F$11:$F$26)),0)</f>
        <v>0</v>
      </c>
      <c r="U68" s="130" t="n">
        <f aca="false">IFERROR(SUMPRODUCT(MAX(('Free Fire'!$M$11:$M$34=$B68)*'Free Fire'!$G$11:$G$34)),0)</f>
        <v>0</v>
      </c>
      <c r="V68" s="130" t="n">
        <f aca="false">IFERROR(SUMPRODUCT(MAX(('EA FC 26'!$N$11:$N$46=$B68)*'EA FC 26'!$H$11:$H$46)),0)</f>
        <v>0</v>
      </c>
      <c r="W68" s="130" t="n">
        <f aca="false">IFERROR(SUMPRODUCT(MAX(('Black Ops 7'!$O$11:$O$26=$B68)*'Black Ops 7'!$J$11:$J$26)),0)</f>
        <v>200</v>
      </c>
      <c r="X68" s="130" t="n">
        <f aca="false">IFERROR(SUMPRODUCT(MAX(('Rocket League'!$P$11:$P$26=$B68)*'Rocket League'!$J$11:$J$26)),0)</f>
        <v>0</v>
      </c>
      <c r="Y68" s="130" t="n">
        <f aca="false">IFERROR(SUMPRODUCT(MAX(('Overwatch 2'!$L$11:$L$26=$B68)*'Overwatch 2'!$F$11:$F$26)),0)</f>
        <v>0</v>
      </c>
      <c r="Z68" s="130" t="n">
        <f aca="false">IFERROR(SUMPRODUCT(MAX((PUBG!$L$11:$L$34=$B68)*PUBG!$F$11:$F$34)),0)</f>
        <v>0</v>
      </c>
      <c r="AA68" s="130" t="n">
        <f aca="false">IFERROR(SUMPRODUCT(MAX(('MLBB Women'!$L$11:$L$26=$B68)*'MLBB Women'!$F$11:$F$26)),0)</f>
        <v>0</v>
      </c>
      <c r="AB68" s="130" t="n">
        <f aca="false">SUM(C68:AA68)</f>
        <v>200</v>
      </c>
      <c r="AC68" s="130" t="n">
        <v>200</v>
      </c>
      <c r="AD68" s="200" t="n">
        <f aca="false">AB68-AC68</f>
        <v>0</v>
      </c>
      <c r="AE68" s="82" t="str">
        <f aca="false">IF(AB68=0,"not started",IF(AD68=0,"reconciled",IF(AD68&gt;0,"CHECK NAMES","in progress")))</f>
        <v>reconciled</v>
      </c>
    </row>
    <row r="69" customFormat="false" ht="15" hidden="false" customHeight="true" outlineLevel="0" collapsed="false">
      <c r="B69" s="92" t="s">
        <v>380</v>
      </c>
      <c r="C69" s="130" t="n">
        <f aca="false">IFERROR(SUMIF(CS2!$L$11:$L$42,$B69,CS2!$F$11:$F$42),0)</f>
        <v>0</v>
      </c>
      <c r="D69" s="130" t="n">
        <f aca="false">IFERROR(SUMPRODUCT(MAX((Chess!$L$11:$L$32=$B69)*Chess!$F$11:$F$32)),0)</f>
        <v>0</v>
      </c>
      <c r="E69" s="130" t="n">
        <f aca="false">IFERROR(SUMPRODUCT(MAX((LoL!$L$11:$L$26=$B69)*LoL!$F$11:$F$26)),0)</f>
        <v>0</v>
      </c>
      <c r="F69" s="130" t="n">
        <f aca="false">IFERROR(SUMPRODUCT(MAX(('PUBG Mobile'!$L$11:$L$42=$B69)*'PUBG Mobile'!$F$11:$F$42)),0)</f>
        <v>0</v>
      </c>
      <c r="G69" s="130" t="n">
        <f aca="false">IFERROR(SUMPRODUCT(MAX(('Fortnite Reload'!$L$11:$L$50=$B69)*'Fortnite Reload'!$F$11:$F$50)),0)</f>
        <v>0</v>
      </c>
      <c r="H69" s="130" t="n">
        <f aca="false">IFERROR(SUMPRODUCT(MAX((Trackmania!$M$11:$M$42=$B69)*Trackmania!$G$11:$G$42)),0)</f>
        <v>0</v>
      </c>
      <c r="I69" s="130" t="n">
        <f aca="false">IFERROR(SUMPRODUCT(MAX(('Dota 2'!$N$11:$N$34=$B69)*'Dota 2'!$H$11:$H$34)),0)</f>
        <v>200</v>
      </c>
      <c r="J69" s="130" t="n">
        <f aca="false">IFERROR(SUMPRODUCT(MAX(('Tekken 8'!$N$11:$N$42=$B69)*'Tekken 8'!$H$11:$H$42)),0)</f>
        <v>0</v>
      </c>
      <c r="K69" s="130" t="n">
        <f aca="false">IFERROR(SUMPRODUCT(MAX(('Street Fighter 6'!$O$11:$O$42=$B69)*'Street Fighter 6'!$I$11:$I$42)),0)</f>
        <v>0</v>
      </c>
      <c r="L69" s="130" t="n">
        <f aca="false">IFERROR(SUMPRODUCT(MAX(('Fatal Fury CotW'!$L$11:$L$42=$B69)*'Fatal Fury CotW'!$F$11:$F$42)),0)</f>
        <v>0</v>
      </c>
      <c r="M69" s="130" t="n">
        <f aca="false">IFERROR(SUMPRODUCT(MAX((TFT!$N$11:$N$26=$B69)*TFT!$H$11:$H$26)),0)</f>
        <v>0</v>
      </c>
      <c r="N69" s="130" t="n">
        <f aca="false">IFERROR(SUMPRODUCT(MAX(('Rainbow Six'!$P$11:$P$32=$B69)*'Rainbow Six'!$J$11:$J$32)),0)</f>
        <v>0</v>
      </c>
      <c r="O69" s="130" t="n">
        <f aca="false">IFERROR(SUMPRODUCT(MAX((Warzone!$M$11:$M$42=$B69)*Warzone!$G$11:$G$42)),0)</f>
        <v>0</v>
      </c>
      <c r="P69" s="130" t="n">
        <f aca="false">IFERROR(SUMPRODUCT(MAX((Valorant!$N$11:$N$26=$B69)*Valorant!$H$11:$H$26)),0)</f>
        <v>0</v>
      </c>
      <c r="Q69" s="130" t="n">
        <f aca="false">IFERROR(SUMPRODUCT(MAX(('MLBB (MSC)'!$M$11:$M$35=$B69)*'MLBB (MSC)'!$G$11:$G$35)),0)</f>
        <v>0</v>
      </c>
      <c r="R69" s="130" t="n">
        <f aca="false">IFERROR(SUMPRODUCT(MAX(('Apex Legends'!$O$11:$O$50=$B69)*'Apex Legends'!$I$11:$I$50)),0)</f>
        <v>0</v>
      </c>
      <c r="S69" s="130" t="n">
        <f aca="false">IFERROR(SUMPRODUCT(MAX(('Honor of Kings'!$N$11:$N$30=$B69)*'Honor of Kings'!$H$11:$H$30)),0)</f>
        <v>0</v>
      </c>
      <c r="T69" s="130" t="n">
        <f aca="false">IFERROR(SUMPRODUCT(MAX((CrossFire!$L$11:$L$26=$B69)*CrossFire!$F$11:$F$26)),0)</f>
        <v>0</v>
      </c>
      <c r="U69" s="130" t="n">
        <f aca="false">IFERROR(SUMPRODUCT(MAX(('Free Fire'!$M$11:$M$34=$B69)*'Free Fire'!$G$11:$G$34)),0)</f>
        <v>0</v>
      </c>
      <c r="V69" s="130" t="n">
        <f aca="false">IFERROR(SUMPRODUCT(MAX(('EA FC 26'!$N$11:$N$46=$B69)*'EA FC 26'!$H$11:$H$46)),0)</f>
        <v>0</v>
      </c>
      <c r="W69" s="130" t="n">
        <f aca="false">IFERROR(SUMPRODUCT(MAX(('Black Ops 7'!$O$11:$O$26=$B69)*'Black Ops 7'!$J$11:$J$26)),0)</f>
        <v>0</v>
      </c>
      <c r="X69" s="130" t="n">
        <f aca="false">IFERROR(SUMPRODUCT(MAX(('Rocket League'!$P$11:$P$26=$B69)*'Rocket League'!$J$11:$J$26)),0)</f>
        <v>0</v>
      </c>
      <c r="Y69" s="130" t="n">
        <f aca="false">IFERROR(SUMPRODUCT(MAX(('Overwatch 2'!$L$11:$L$26=$B69)*'Overwatch 2'!$F$11:$F$26)),0)</f>
        <v>0</v>
      </c>
      <c r="Z69" s="130" t="n">
        <f aca="false">IFERROR(SUMPRODUCT(MAX((PUBG!$L$11:$L$34=$B69)*PUBG!$F$11:$F$34)),0)</f>
        <v>0</v>
      </c>
      <c r="AA69" s="130" t="n">
        <f aca="false">IFERROR(SUMPRODUCT(MAX(('MLBB Women'!$L$11:$L$26=$B69)*'MLBB Women'!$F$11:$F$26)),0)</f>
        <v>0</v>
      </c>
      <c r="AB69" s="130" t="n">
        <f aca="false">SUM(C69:AA69)</f>
        <v>200</v>
      </c>
      <c r="AC69" s="130" t="n">
        <v>200</v>
      </c>
      <c r="AD69" s="200" t="n">
        <f aca="false">AB69-AC69</f>
        <v>0</v>
      </c>
      <c r="AE69" s="82" t="str">
        <f aca="false">IF(AB69=0,"not started",IF(AD69=0,"reconciled",IF(AD69&gt;0,"CHECK NAMES","in progress")))</f>
        <v>reconciled</v>
      </c>
    </row>
    <row r="70" customFormat="false" ht="15" hidden="false" customHeight="true" outlineLevel="0" collapsed="false">
      <c r="B70" s="92" t="s">
        <v>228</v>
      </c>
      <c r="C70" s="130" t="n">
        <f aca="false">IFERROR(SUMIF(CS2!$L$11:$L$42,$B70,CS2!$F$11:$F$42),0)</f>
        <v>0</v>
      </c>
      <c r="D70" s="130" t="n">
        <f aca="false">IFERROR(SUMPRODUCT(MAX((Chess!$L$11:$L$32=$B70)*Chess!$F$11:$F$32)),0)</f>
        <v>0</v>
      </c>
      <c r="E70" s="130" t="n">
        <f aca="false">IFERROR(SUMPRODUCT(MAX((LoL!$L$11:$L$26=$B70)*LoL!$F$11:$F$26)),0)</f>
        <v>0</v>
      </c>
      <c r="F70" s="130" t="n">
        <f aca="false">IFERROR(SUMPRODUCT(MAX(('PUBG Mobile'!$L$11:$L$42=$B70)*'PUBG Mobile'!$F$11:$F$42)),0)</f>
        <v>0</v>
      </c>
      <c r="G70" s="130" t="n">
        <f aca="false">IFERROR(SUMPRODUCT(MAX(('Fortnite Reload'!$L$11:$L$50=$B70)*'Fortnite Reload'!$F$11:$F$50)),0)</f>
        <v>0</v>
      </c>
      <c r="H70" s="130" t="n">
        <f aca="false">IFERROR(SUMPRODUCT(MAX((Trackmania!$M$11:$M$42=$B70)*Trackmania!$G$11:$G$42)),0)</f>
        <v>0</v>
      </c>
      <c r="I70" s="130" t="n">
        <f aca="false">IFERROR(SUMPRODUCT(MAX(('Dota 2'!$N$11:$N$34=$B70)*'Dota 2'!$H$11:$H$34)),0)</f>
        <v>0</v>
      </c>
      <c r="J70" s="130" t="n">
        <f aca="false">IFERROR(SUMPRODUCT(MAX(('Tekken 8'!$N$11:$N$42=$B70)*'Tekken 8'!$H$11:$H$42)),0)</f>
        <v>0</v>
      </c>
      <c r="K70" s="130" t="n">
        <f aca="false">IFERROR(SUMPRODUCT(MAX(('Street Fighter 6'!$O$11:$O$42=$B70)*'Street Fighter 6'!$I$11:$I$42)),0)</f>
        <v>0</v>
      </c>
      <c r="L70" s="130" t="n">
        <f aca="false">IFERROR(SUMPRODUCT(MAX(('Fatal Fury CotW'!$L$11:$L$42=$B70)*'Fatal Fury CotW'!$F$11:$F$42)),0)</f>
        <v>0</v>
      </c>
      <c r="M70" s="130" t="n">
        <f aca="false">IFERROR(SUMPRODUCT(MAX((TFT!$N$11:$N$26=$B70)*TFT!$H$11:$H$26)),0)</f>
        <v>0</v>
      </c>
      <c r="N70" s="130" t="n">
        <f aca="false">IFERROR(SUMPRODUCT(MAX(('Rainbow Six'!$P$11:$P$32=$B70)*'Rainbow Six'!$J$11:$J$32)),0)</f>
        <v>0</v>
      </c>
      <c r="O70" s="130" t="n">
        <f aca="false">IFERROR(SUMPRODUCT(MAX((Warzone!$M$11:$M$42=$B70)*Warzone!$G$11:$G$42)),0)</f>
        <v>0</v>
      </c>
      <c r="P70" s="130" t="n">
        <f aca="false">IFERROR(SUMPRODUCT(MAX((Valorant!$N$11:$N$26=$B70)*Valorant!$H$11:$H$26)),0)</f>
        <v>0</v>
      </c>
      <c r="Q70" s="130" t="n">
        <f aca="false">IFERROR(SUMPRODUCT(MAX(('MLBB (MSC)'!$M$11:$M$35=$B70)*'MLBB (MSC)'!$G$11:$G$35)),0)</f>
        <v>0</v>
      </c>
      <c r="R70" s="130" t="n">
        <f aca="false">IFERROR(SUMPRODUCT(MAX(('Apex Legends'!$O$11:$O$50=$B70)*'Apex Legends'!$I$11:$I$50)),0)</f>
        <v>0</v>
      </c>
      <c r="S70" s="130" t="n">
        <f aca="false">IFERROR(SUMPRODUCT(MAX(('Honor of Kings'!$N$11:$N$30=$B70)*'Honor of Kings'!$H$11:$H$30)),0)</f>
        <v>0</v>
      </c>
      <c r="T70" s="130" t="n">
        <f aca="false">IFERROR(SUMPRODUCT(MAX((CrossFire!$L$11:$L$26=$B70)*CrossFire!$F$11:$F$26)),0)</f>
        <v>0</v>
      </c>
      <c r="U70" s="130" t="n">
        <f aca="false">IFERROR(SUMPRODUCT(MAX(('Free Fire'!$M$11:$M$34=$B70)*'Free Fire'!$G$11:$G$34)),0)</f>
        <v>0</v>
      </c>
      <c r="V70" s="130" t="n">
        <f aca="false">IFERROR(SUMPRODUCT(MAX(('EA FC 26'!$N$11:$N$46=$B70)*'EA FC 26'!$H$11:$H$46)),0)</f>
        <v>0</v>
      </c>
      <c r="W70" s="130" t="n">
        <f aca="false">IFERROR(SUMPRODUCT(MAX(('Black Ops 7'!$O$11:$O$26=$B70)*'Black Ops 7'!$J$11:$J$26)),0)</f>
        <v>0</v>
      </c>
      <c r="X70" s="130" t="n">
        <f aca="false">IFERROR(SUMPRODUCT(MAX(('Rocket League'!$P$11:$P$26=$B70)*'Rocket League'!$J$11:$J$26)),0)</f>
        <v>200</v>
      </c>
      <c r="Y70" s="130" t="n">
        <f aca="false">IFERROR(SUMPRODUCT(MAX(('Overwatch 2'!$L$11:$L$26=$B70)*'Overwatch 2'!$F$11:$F$26)),0)</f>
        <v>0</v>
      </c>
      <c r="Z70" s="130" t="n">
        <f aca="false">IFERROR(SUMPRODUCT(MAX((PUBG!$L$11:$L$34=$B70)*PUBG!$F$11:$F$34)),0)</f>
        <v>0</v>
      </c>
      <c r="AA70" s="130" t="n">
        <f aca="false">IFERROR(SUMPRODUCT(MAX(('MLBB Women'!$L$11:$L$26=$B70)*'MLBB Women'!$F$11:$F$26)),0)</f>
        <v>0</v>
      </c>
      <c r="AB70" s="130" t="n">
        <f aca="false">SUM(C70:AA70)</f>
        <v>200</v>
      </c>
      <c r="AC70" s="130" t="n">
        <v>200</v>
      </c>
      <c r="AD70" s="200" t="n">
        <f aca="false">AB70-AC70</f>
        <v>0</v>
      </c>
      <c r="AE70" s="82" t="str">
        <f aca="false">IF(AB70=0,"not started",IF(AD70=0,"reconciled",IF(AD70&gt;0,"CHECK NAMES","in progress")))</f>
        <v>reconciled</v>
      </c>
    </row>
    <row r="71" customFormat="false" ht="15" hidden="false" customHeight="true" outlineLevel="0" collapsed="false">
      <c r="B71" s="92" t="s">
        <v>261</v>
      </c>
      <c r="C71" s="130" t="n">
        <f aca="false">IFERROR(SUMIF(CS2!$L$11:$L$42,$B71,CS2!$F$11:$F$42),0)</f>
        <v>0</v>
      </c>
      <c r="D71" s="130" t="n">
        <f aca="false">IFERROR(SUMPRODUCT(MAX((Chess!$L$11:$L$32=$B71)*Chess!$F$11:$F$32)),0)</f>
        <v>0</v>
      </c>
      <c r="E71" s="130" t="n">
        <f aca="false">IFERROR(SUMPRODUCT(MAX((LoL!$L$11:$L$26=$B71)*LoL!$F$11:$F$26)),0)</f>
        <v>0</v>
      </c>
      <c r="F71" s="130" t="n">
        <f aca="false">IFERROR(SUMPRODUCT(MAX(('PUBG Mobile'!$L$11:$L$42=$B71)*'PUBG Mobile'!$F$11:$F$42)),0)</f>
        <v>0</v>
      </c>
      <c r="G71" s="130" t="n">
        <f aca="false">IFERROR(SUMPRODUCT(MAX(('Fortnite Reload'!$L$11:$L$50=$B71)*'Fortnite Reload'!$F$11:$F$50)),0)</f>
        <v>0</v>
      </c>
      <c r="H71" s="130" t="n">
        <f aca="false">IFERROR(SUMPRODUCT(MAX((Trackmania!$M$11:$M$42=$B71)*Trackmania!$G$11:$G$42)),0)</f>
        <v>0</v>
      </c>
      <c r="I71" s="130" t="n">
        <f aca="false">IFERROR(SUMPRODUCT(MAX(('Dota 2'!$N$11:$N$34=$B71)*'Dota 2'!$H$11:$H$34)),0)</f>
        <v>0</v>
      </c>
      <c r="J71" s="130" t="n">
        <f aca="false">IFERROR(SUMPRODUCT(MAX(('Tekken 8'!$N$11:$N$42=$B71)*'Tekken 8'!$H$11:$H$42)),0)</f>
        <v>200</v>
      </c>
      <c r="K71" s="130" t="n">
        <f aca="false">IFERROR(SUMPRODUCT(MAX(('Street Fighter 6'!$O$11:$O$42=$B71)*'Street Fighter 6'!$I$11:$I$42)),0)</f>
        <v>0</v>
      </c>
      <c r="L71" s="130" t="n">
        <f aca="false">IFERROR(SUMPRODUCT(MAX(('Fatal Fury CotW'!$L$11:$L$42=$B71)*'Fatal Fury CotW'!$F$11:$F$42)),0)</f>
        <v>0</v>
      </c>
      <c r="M71" s="130" t="n">
        <f aca="false">IFERROR(SUMPRODUCT(MAX((TFT!$N$11:$N$26=$B71)*TFT!$H$11:$H$26)),0)</f>
        <v>0</v>
      </c>
      <c r="N71" s="130" t="n">
        <f aca="false">IFERROR(SUMPRODUCT(MAX(('Rainbow Six'!$P$11:$P$32=$B71)*'Rainbow Six'!$J$11:$J$32)),0)</f>
        <v>0</v>
      </c>
      <c r="O71" s="130" t="n">
        <f aca="false">IFERROR(SUMPRODUCT(MAX((Warzone!$M$11:$M$42=$B71)*Warzone!$G$11:$G$42)),0)</f>
        <v>0</v>
      </c>
      <c r="P71" s="130" t="n">
        <f aca="false">IFERROR(SUMPRODUCT(MAX((Valorant!$N$11:$N$26=$B71)*Valorant!$H$11:$H$26)),0)</f>
        <v>0</v>
      </c>
      <c r="Q71" s="130" t="n">
        <f aca="false">IFERROR(SUMPRODUCT(MAX(('MLBB (MSC)'!$M$11:$M$35=$B71)*'MLBB (MSC)'!$G$11:$G$35)),0)</f>
        <v>0</v>
      </c>
      <c r="R71" s="130" t="n">
        <f aca="false">IFERROR(SUMPRODUCT(MAX(('Apex Legends'!$O$11:$O$50=$B71)*'Apex Legends'!$I$11:$I$50)),0)</f>
        <v>0</v>
      </c>
      <c r="S71" s="130" t="n">
        <f aca="false">IFERROR(SUMPRODUCT(MAX(('Honor of Kings'!$N$11:$N$30=$B71)*'Honor of Kings'!$H$11:$H$30)),0)</f>
        <v>0</v>
      </c>
      <c r="T71" s="130" t="n">
        <f aca="false">IFERROR(SUMPRODUCT(MAX((CrossFire!$L$11:$L$26=$B71)*CrossFire!$F$11:$F$26)),0)</f>
        <v>0</v>
      </c>
      <c r="U71" s="130" t="n">
        <f aca="false">IFERROR(SUMPRODUCT(MAX(('Free Fire'!$M$11:$M$34=$B71)*'Free Fire'!$G$11:$G$34)),0)</f>
        <v>0</v>
      </c>
      <c r="V71" s="130" t="n">
        <f aca="false">IFERROR(SUMPRODUCT(MAX(('EA FC 26'!$N$11:$N$46=$B71)*'EA FC 26'!$H$11:$H$46)),0)</f>
        <v>0</v>
      </c>
      <c r="W71" s="130" t="n">
        <f aca="false">IFERROR(SUMPRODUCT(MAX(('Black Ops 7'!$O$11:$O$26=$B71)*'Black Ops 7'!$J$11:$J$26)),0)</f>
        <v>0</v>
      </c>
      <c r="X71" s="130" t="n">
        <f aca="false">IFERROR(SUMPRODUCT(MAX(('Rocket League'!$P$11:$P$26=$B71)*'Rocket League'!$J$11:$J$26)),0)</f>
        <v>0</v>
      </c>
      <c r="Y71" s="130" t="n">
        <f aca="false">IFERROR(SUMPRODUCT(MAX(('Overwatch 2'!$L$11:$L$26=$B71)*'Overwatch 2'!$F$11:$F$26)),0)</f>
        <v>0</v>
      </c>
      <c r="Z71" s="130" t="n">
        <f aca="false">IFERROR(SUMPRODUCT(MAX((PUBG!$L$11:$L$34=$B71)*PUBG!$F$11:$F$34)),0)</f>
        <v>0</v>
      </c>
      <c r="AA71" s="130" t="n">
        <f aca="false">IFERROR(SUMPRODUCT(MAX(('MLBB Women'!$L$11:$L$26=$B71)*'MLBB Women'!$F$11:$F$26)),0)</f>
        <v>0</v>
      </c>
      <c r="AB71" s="130" t="n">
        <f aca="false">SUM(C71:AA71)</f>
        <v>200</v>
      </c>
      <c r="AC71" s="130" t="n">
        <v>200</v>
      </c>
      <c r="AD71" s="200" t="n">
        <f aca="false">AB71-AC71</f>
        <v>0</v>
      </c>
      <c r="AE71" s="82" t="str">
        <f aca="false">IF(AB71=0,"not started",IF(AD71=0,"reconciled",IF(AD71&gt;0,"CHECK NAMES","in progress")))</f>
        <v>reconciled</v>
      </c>
    </row>
    <row r="72" customFormat="false" ht="15" hidden="false" customHeight="true" outlineLevel="0" collapsed="false">
      <c r="B72" s="92" t="s">
        <v>388</v>
      </c>
      <c r="C72" s="130" t="n">
        <f aca="false">IFERROR(SUMIF(CS2!$L$11:$L$42,$B72,CS2!$F$11:$F$42),0)</f>
        <v>0</v>
      </c>
      <c r="D72" s="130" t="n">
        <f aca="false">IFERROR(SUMPRODUCT(MAX((Chess!$L$11:$L$32=$B72)*Chess!$F$11:$F$32)),0)</f>
        <v>0</v>
      </c>
      <c r="E72" s="130" t="n">
        <f aca="false">IFERROR(SUMPRODUCT(MAX((LoL!$L$11:$L$26=$B72)*LoL!$F$11:$F$26)),0)</f>
        <v>0</v>
      </c>
      <c r="F72" s="130" t="n">
        <f aca="false">IFERROR(SUMPRODUCT(MAX(('PUBG Mobile'!$L$11:$L$42=$B72)*'PUBG Mobile'!$F$11:$F$42)),0)</f>
        <v>0</v>
      </c>
      <c r="G72" s="130" t="n">
        <f aca="false">IFERROR(SUMPRODUCT(MAX(('Fortnite Reload'!$L$11:$L$50=$B72)*'Fortnite Reload'!$F$11:$F$50)),0)</f>
        <v>0</v>
      </c>
      <c r="H72" s="130" t="n">
        <f aca="false">IFERROR(SUMPRODUCT(MAX((Trackmania!$M$11:$M$42=$B72)*Trackmania!$G$11:$G$42)),0)</f>
        <v>0</v>
      </c>
      <c r="I72" s="130" t="n">
        <f aca="false">IFERROR(SUMPRODUCT(MAX(('Dota 2'!$N$11:$N$34=$B72)*'Dota 2'!$H$11:$H$34)),0)</f>
        <v>0</v>
      </c>
      <c r="J72" s="130" t="n">
        <f aca="false">IFERROR(SUMPRODUCT(MAX(('Tekken 8'!$N$11:$N$42=$B72)*'Tekken 8'!$H$11:$H$42)),0)</f>
        <v>0</v>
      </c>
      <c r="K72" s="130" t="n">
        <f aca="false">IFERROR(SUMPRODUCT(MAX(('Street Fighter 6'!$O$11:$O$42=$B72)*'Street Fighter 6'!$I$11:$I$42)),0)</f>
        <v>0</v>
      </c>
      <c r="L72" s="130" t="n">
        <f aca="false">IFERROR(SUMPRODUCT(MAX(('Fatal Fury CotW'!$L$11:$L$42=$B72)*'Fatal Fury CotW'!$F$11:$F$42)),0)</f>
        <v>0</v>
      </c>
      <c r="M72" s="130" t="n">
        <f aca="false">IFERROR(SUMPRODUCT(MAX((TFT!$N$11:$N$26=$B72)*TFT!$H$11:$H$26)),0)</f>
        <v>0</v>
      </c>
      <c r="N72" s="130" t="n">
        <f aca="false">IFERROR(SUMPRODUCT(MAX(('Rainbow Six'!$P$11:$P$32=$B72)*'Rainbow Six'!$J$11:$J$32)),0)</f>
        <v>0</v>
      </c>
      <c r="O72" s="130" t="n">
        <f aca="false">IFERROR(SUMPRODUCT(MAX((Warzone!$M$11:$M$42=$B72)*Warzone!$G$11:$G$42)),0)</f>
        <v>0</v>
      </c>
      <c r="P72" s="130" t="n">
        <f aca="false">IFERROR(SUMPRODUCT(MAX((Valorant!$N$11:$N$26=$B72)*Valorant!$H$11:$H$26)),0)</f>
        <v>0</v>
      </c>
      <c r="Q72" s="130" t="n">
        <f aca="false">IFERROR(SUMPRODUCT(MAX(('MLBB (MSC)'!$M$11:$M$35=$B72)*'MLBB (MSC)'!$G$11:$G$35)),0)</f>
        <v>0</v>
      </c>
      <c r="R72" s="130" t="n">
        <f aca="false">IFERROR(SUMPRODUCT(MAX(('Apex Legends'!$O$11:$O$50=$B72)*'Apex Legends'!$I$11:$I$50)),0)</f>
        <v>0</v>
      </c>
      <c r="S72" s="130" t="n">
        <f aca="false">IFERROR(SUMPRODUCT(MAX(('Honor of Kings'!$N$11:$N$30=$B72)*'Honor of Kings'!$H$11:$H$30)),0)</f>
        <v>0</v>
      </c>
      <c r="T72" s="130" t="n">
        <f aca="false">IFERROR(SUMPRODUCT(MAX((CrossFire!$L$11:$L$26=$B72)*CrossFire!$F$11:$F$26)),0)</f>
        <v>0</v>
      </c>
      <c r="U72" s="130" t="n">
        <f aca="false">IFERROR(SUMPRODUCT(MAX(('Free Fire'!$M$11:$M$34=$B72)*'Free Fire'!$G$11:$G$34)),0)</f>
        <v>0</v>
      </c>
      <c r="V72" s="130" t="n">
        <f aca="false">IFERROR(SUMPRODUCT(MAX(('EA FC 26'!$N$11:$N$46=$B72)*'EA FC 26'!$H$11:$H$46)),0)</f>
        <v>0</v>
      </c>
      <c r="W72" s="130" t="n">
        <f aca="false">IFERROR(SUMPRODUCT(MAX(('Black Ops 7'!$O$11:$O$26=$B72)*'Black Ops 7'!$J$11:$J$26)),0)</f>
        <v>0</v>
      </c>
      <c r="X72" s="130" t="n">
        <f aca="false">IFERROR(SUMPRODUCT(MAX(('Rocket League'!$P$11:$P$26=$B72)*'Rocket League'!$J$11:$J$26)),0)</f>
        <v>0</v>
      </c>
      <c r="Y72" s="130" t="n">
        <f aca="false">IFERROR(SUMPRODUCT(MAX(('Overwatch 2'!$L$11:$L$26=$B72)*'Overwatch 2'!$F$11:$F$26)),0)</f>
        <v>0</v>
      </c>
      <c r="Z72" s="130" t="n">
        <f aca="false">IFERROR(SUMPRODUCT(MAX((PUBG!$L$11:$L$34=$B72)*PUBG!$F$11:$F$34)),0)</f>
        <v>0</v>
      </c>
      <c r="AA72" s="130" t="n">
        <f aca="false">IFERROR(SUMPRODUCT(MAX(('MLBB Women'!$L$11:$L$26=$B72)*'MLBB Women'!$F$11:$F$26)),0)</f>
        <v>200</v>
      </c>
      <c r="AB72" s="130" t="n">
        <f aca="false">SUM(C72:AA72)</f>
        <v>200</v>
      </c>
      <c r="AC72" s="130" t="n">
        <v>200</v>
      </c>
      <c r="AD72" s="200" t="n">
        <f aca="false">AB72-AC72</f>
        <v>0</v>
      </c>
      <c r="AE72" s="82" t="str">
        <f aca="false">IF(AB72=0,"not started",IF(AD72=0,"reconciled",IF(AD72&gt;0,"CHECK NAMES","in progress")))</f>
        <v>reconciled</v>
      </c>
    </row>
    <row r="73" customFormat="false" ht="15" hidden="false" customHeight="true" outlineLevel="0" collapsed="false">
      <c r="B73" s="92" t="s">
        <v>336</v>
      </c>
      <c r="C73" s="130" t="n">
        <f aca="false">IFERROR(SUMIF(CS2!$L$11:$L$42,$B73,CS2!$F$11:$F$42),0)</f>
        <v>0</v>
      </c>
      <c r="D73" s="130" t="n">
        <f aca="false">IFERROR(SUMPRODUCT(MAX((Chess!$L$11:$L$32=$B73)*Chess!$F$11:$F$32)),0)</f>
        <v>0</v>
      </c>
      <c r="E73" s="130" t="n">
        <f aca="false">IFERROR(SUMPRODUCT(MAX((LoL!$L$11:$L$26=$B73)*LoL!$F$11:$F$26)),0)</f>
        <v>0</v>
      </c>
      <c r="F73" s="130" t="n">
        <f aca="false">IFERROR(SUMPRODUCT(MAX(('PUBG Mobile'!$L$11:$L$42=$B73)*'PUBG Mobile'!$F$11:$F$42)),0)</f>
        <v>0</v>
      </c>
      <c r="G73" s="130" t="n">
        <f aca="false">IFERROR(SUMPRODUCT(MAX(('Fortnite Reload'!$L$11:$L$50=$B73)*'Fortnite Reload'!$F$11:$F$50)),0)</f>
        <v>0</v>
      </c>
      <c r="H73" s="130" t="n">
        <f aca="false">IFERROR(SUMPRODUCT(MAX((Trackmania!$M$11:$M$42=$B73)*Trackmania!$G$11:$G$42)),0)</f>
        <v>0</v>
      </c>
      <c r="I73" s="130" t="n">
        <f aca="false">IFERROR(SUMPRODUCT(MAX(('Dota 2'!$N$11:$N$34=$B73)*'Dota 2'!$H$11:$H$34)),0)</f>
        <v>0</v>
      </c>
      <c r="J73" s="130" t="n">
        <f aca="false">IFERROR(SUMPRODUCT(MAX(('Tekken 8'!$N$11:$N$42=$B73)*'Tekken 8'!$H$11:$H$42)),0)</f>
        <v>0</v>
      </c>
      <c r="K73" s="130" t="n">
        <f aca="false">IFERROR(SUMPRODUCT(MAX(('Street Fighter 6'!$O$11:$O$42=$B73)*'Street Fighter 6'!$I$11:$I$42)),0)</f>
        <v>0</v>
      </c>
      <c r="L73" s="130" t="n">
        <f aca="false">IFERROR(SUMPRODUCT(MAX(('Fatal Fury CotW'!$L$11:$L$42=$B73)*'Fatal Fury CotW'!$F$11:$F$42)),0)</f>
        <v>0</v>
      </c>
      <c r="M73" s="130" t="n">
        <f aca="false">IFERROR(SUMPRODUCT(MAX((TFT!$N$11:$N$26=$B73)*TFT!$H$11:$H$26)),0)</f>
        <v>0</v>
      </c>
      <c r="N73" s="130" t="n">
        <f aca="false">IFERROR(SUMPRODUCT(MAX(('Rainbow Six'!$P$11:$P$32=$B73)*'Rainbow Six'!$J$11:$J$32)),0)</f>
        <v>200</v>
      </c>
      <c r="O73" s="130" t="n">
        <f aca="false">IFERROR(SUMPRODUCT(MAX((Warzone!$M$11:$M$42=$B73)*Warzone!$G$11:$G$42)),0)</f>
        <v>0</v>
      </c>
      <c r="P73" s="130" t="n">
        <f aca="false">IFERROR(SUMPRODUCT(MAX((Valorant!$N$11:$N$26=$B73)*Valorant!$H$11:$H$26)),0)</f>
        <v>0</v>
      </c>
      <c r="Q73" s="130" t="n">
        <f aca="false">IFERROR(SUMPRODUCT(MAX(('MLBB (MSC)'!$M$11:$M$35=$B73)*'MLBB (MSC)'!$G$11:$G$35)),0)</f>
        <v>0</v>
      </c>
      <c r="R73" s="130" t="n">
        <f aca="false">IFERROR(SUMPRODUCT(MAX(('Apex Legends'!$O$11:$O$50=$B73)*'Apex Legends'!$I$11:$I$50)),0)</f>
        <v>0</v>
      </c>
      <c r="S73" s="130" t="n">
        <f aca="false">IFERROR(SUMPRODUCT(MAX(('Honor of Kings'!$N$11:$N$30=$B73)*'Honor of Kings'!$H$11:$H$30)),0)</f>
        <v>0</v>
      </c>
      <c r="T73" s="130" t="n">
        <f aca="false">IFERROR(SUMPRODUCT(MAX((CrossFire!$L$11:$L$26=$B73)*CrossFire!$F$11:$F$26)),0)</f>
        <v>0</v>
      </c>
      <c r="U73" s="130" t="n">
        <f aca="false">IFERROR(SUMPRODUCT(MAX(('Free Fire'!$M$11:$M$34=$B73)*'Free Fire'!$G$11:$G$34)),0)</f>
        <v>0</v>
      </c>
      <c r="V73" s="130" t="n">
        <f aca="false">IFERROR(SUMPRODUCT(MAX(('EA FC 26'!$N$11:$N$46=$B73)*'EA FC 26'!$H$11:$H$46)),0)</f>
        <v>0</v>
      </c>
      <c r="W73" s="130" t="n">
        <f aca="false">IFERROR(SUMPRODUCT(MAX(('Black Ops 7'!$O$11:$O$26=$B73)*'Black Ops 7'!$J$11:$J$26)),0)</f>
        <v>0</v>
      </c>
      <c r="X73" s="130" t="n">
        <f aca="false">IFERROR(SUMPRODUCT(MAX(('Rocket League'!$P$11:$P$26=$B73)*'Rocket League'!$J$11:$J$26)),0)</f>
        <v>0</v>
      </c>
      <c r="Y73" s="130" t="n">
        <f aca="false">IFERROR(SUMPRODUCT(MAX(('Overwatch 2'!$L$11:$L$26=$B73)*'Overwatch 2'!$F$11:$F$26)),0)</f>
        <v>0</v>
      </c>
      <c r="Z73" s="130" t="n">
        <f aca="false">IFERROR(SUMPRODUCT(MAX((PUBG!$L$11:$L$34=$B73)*PUBG!$F$11:$F$34)),0)</f>
        <v>0</v>
      </c>
      <c r="AA73" s="130" t="n">
        <f aca="false">IFERROR(SUMPRODUCT(MAX(('MLBB Women'!$L$11:$L$26=$B73)*'MLBB Women'!$F$11:$F$26)),0)</f>
        <v>0</v>
      </c>
      <c r="AB73" s="130" t="n">
        <f aca="false">SUM(C73:AA73)</f>
        <v>200</v>
      </c>
      <c r="AC73" s="130" t="n">
        <v>200</v>
      </c>
      <c r="AD73" s="200" t="n">
        <f aca="false">AB73-AC73</f>
        <v>0</v>
      </c>
      <c r="AE73" s="82" t="str">
        <f aca="false">IF(AB73=0,"not started",IF(AD73=0,"reconciled",IF(AD73&gt;0,"CHECK NAMES","in progress")))</f>
        <v>reconciled</v>
      </c>
    </row>
    <row r="74" customFormat="false" ht="15" hidden="false" customHeight="true" outlineLevel="0" collapsed="false">
      <c r="B74" s="92" t="s">
        <v>206</v>
      </c>
      <c r="C74" s="130" t="n">
        <f aca="false">IFERROR(SUMIF(CS2!$L$11:$L$42,$B74,CS2!$F$11:$F$42),0)</f>
        <v>0</v>
      </c>
      <c r="D74" s="130" t="n">
        <f aca="false">IFERROR(SUMPRODUCT(MAX((Chess!$L$11:$L$32=$B74)*Chess!$F$11:$F$32)),0)</f>
        <v>0</v>
      </c>
      <c r="E74" s="130" t="n">
        <f aca="false">IFERROR(SUMPRODUCT(MAX((LoL!$L$11:$L$26=$B74)*LoL!$F$11:$F$26)),0)</f>
        <v>0</v>
      </c>
      <c r="F74" s="130" t="n">
        <f aca="false">IFERROR(SUMPRODUCT(MAX(('PUBG Mobile'!$L$11:$L$42=$B74)*'PUBG Mobile'!$F$11:$F$42)),0)</f>
        <v>0</v>
      </c>
      <c r="G74" s="130" t="n">
        <f aca="false">IFERROR(SUMPRODUCT(MAX(('Fortnite Reload'!$L$11:$L$50=$B74)*'Fortnite Reload'!$F$11:$F$50)),0)</f>
        <v>0</v>
      </c>
      <c r="H74" s="130" t="n">
        <f aca="false">IFERROR(SUMPRODUCT(MAX((Trackmania!$M$11:$M$42=$B74)*Trackmania!$G$11:$G$42)),0)</f>
        <v>0</v>
      </c>
      <c r="I74" s="130" t="n">
        <f aca="false">IFERROR(SUMPRODUCT(MAX(('Dota 2'!$N$11:$N$34=$B74)*'Dota 2'!$H$11:$H$34)),0)</f>
        <v>0</v>
      </c>
      <c r="J74" s="130" t="n">
        <f aca="false">IFERROR(SUMPRODUCT(MAX(('Tekken 8'!$N$11:$N$42=$B74)*'Tekken 8'!$H$11:$H$42)),0)</f>
        <v>0</v>
      </c>
      <c r="K74" s="130" t="n">
        <f aca="false">IFERROR(SUMPRODUCT(MAX(('Street Fighter 6'!$O$11:$O$42=$B74)*'Street Fighter 6'!$I$11:$I$42)),0)</f>
        <v>0</v>
      </c>
      <c r="L74" s="130" t="n">
        <f aca="false">IFERROR(SUMPRODUCT(MAX(('Fatal Fury CotW'!$L$11:$L$42=$B74)*'Fatal Fury CotW'!$F$11:$F$42)),0)</f>
        <v>0</v>
      </c>
      <c r="M74" s="130" t="n">
        <f aca="false">IFERROR(SUMPRODUCT(MAX((TFT!$N$11:$N$26=$B74)*TFT!$H$11:$H$26)),0)</f>
        <v>0</v>
      </c>
      <c r="N74" s="130" t="n">
        <f aca="false">IFERROR(SUMPRODUCT(MAX(('Rainbow Six'!$P$11:$P$32=$B74)*'Rainbow Six'!$J$11:$J$32)),0)</f>
        <v>0</v>
      </c>
      <c r="O74" s="130" t="n">
        <f aca="false">IFERROR(SUMPRODUCT(MAX((Warzone!$M$11:$M$42=$B74)*Warzone!$G$11:$G$42)),0)</f>
        <v>0</v>
      </c>
      <c r="P74" s="130" t="n">
        <f aca="false">IFERROR(SUMPRODUCT(MAX((Valorant!$N$11:$N$26=$B74)*Valorant!$H$11:$H$26)),0)</f>
        <v>0</v>
      </c>
      <c r="Q74" s="130" t="n">
        <f aca="false">IFERROR(SUMPRODUCT(MAX(('MLBB (MSC)'!$M$11:$M$35=$B74)*'MLBB (MSC)'!$G$11:$G$35)),0)</f>
        <v>0</v>
      </c>
      <c r="R74" s="130" t="n">
        <f aca="false">IFERROR(SUMPRODUCT(MAX(('Apex Legends'!$O$11:$O$50=$B74)*'Apex Legends'!$I$11:$I$50)),0)</f>
        <v>100</v>
      </c>
      <c r="S74" s="130" t="n">
        <f aca="false">IFERROR(SUMPRODUCT(MAX(('Honor of Kings'!$N$11:$N$30=$B74)*'Honor of Kings'!$H$11:$H$30)),0)</f>
        <v>0</v>
      </c>
      <c r="T74" s="130" t="n">
        <f aca="false">IFERROR(SUMPRODUCT(MAX((CrossFire!$L$11:$L$26=$B74)*CrossFire!$F$11:$F$26)),0)</f>
        <v>0</v>
      </c>
      <c r="U74" s="130" t="n">
        <f aca="false">IFERROR(SUMPRODUCT(MAX(('Free Fire'!$M$11:$M$34=$B74)*'Free Fire'!$G$11:$G$34)),0)</f>
        <v>0</v>
      </c>
      <c r="V74" s="130" t="n">
        <f aca="false">IFERROR(SUMPRODUCT(MAX(('EA FC 26'!$N$11:$N$46=$B74)*'EA FC 26'!$H$11:$H$46)),0)</f>
        <v>0</v>
      </c>
      <c r="W74" s="130" t="n">
        <f aca="false">IFERROR(SUMPRODUCT(MAX(('Black Ops 7'!$O$11:$O$26=$B74)*'Black Ops 7'!$J$11:$J$26)),0)</f>
        <v>0</v>
      </c>
      <c r="X74" s="130" t="n">
        <f aca="false">IFERROR(SUMPRODUCT(MAX(('Rocket League'!$P$11:$P$26=$B74)*'Rocket League'!$J$11:$J$26)),0)</f>
        <v>0</v>
      </c>
      <c r="Y74" s="130" t="n">
        <f aca="false">IFERROR(SUMPRODUCT(MAX(('Overwatch 2'!$L$11:$L$26=$B74)*'Overwatch 2'!$F$11:$F$26)),0)</f>
        <v>0</v>
      </c>
      <c r="Z74" s="130" t="n">
        <f aca="false">IFERROR(SUMPRODUCT(MAX((PUBG!$L$11:$L$34=$B74)*PUBG!$F$11:$F$34)),0)</f>
        <v>0</v>
      </c>
      <c r="AA74" s="130" t="n">
        <f aca="false">IFERROR(SUMPRODUCT(MAX(('MLBB Women'!$L$11:$L$26=$B74)*'MLBB Women'!$F$11:$F$26)),0)</f>
        <v>0</v>
      </c>
      <c r="AB74" s="130" t="n">
        <f aca="false">SUM(C74:AA74)</f>
        <v>100</v>
      </c>
      <c r="AC74" s="130" t="n">
        <v>100</v>
      </c>
      <c r="AD74" s="200" t="n">
        <f aca="false">AB74-AC74</f>
        <v>0</v>
      </c>
      <c r="AE74" s="82" t="str">
        <f aca="false">IF(AB74=0,"not started",IF(AD74=0,"reconciled",IF(AD74&gt;0,"CHECK NAMES","in progress")))</f>
        <v>reconciled</v>
      </c>
    </row>
    <row r="75" customFormat="false" ht="15" hidden="false" customHeight="true" outlineLevel="0" collapsed="false">
      <c r="B75" s="92" t="s">
        <v>275</v>
      </c>
      <c r="C75" s="130" t="n">
        <f aca="false">IFERROR(SUMIF(CS2!$L$11:$L$42,$B75,CS2!$F$11:$F$42),0)</f>
        <v>0</v>
      </c>
      <c r="D75" s="130" t="n">
        <f aca="false">IFERROR(SUMPRODUCT(MAX((Chess!$L$11:$L$32=$B75)*Chess!$F$11:$F$32)),0)</f>
        <v>0</v>
      </c>
      <c r="E75" s="130" t="n">
        <f aca="false">IFERROR(SUMPRODUCT(MAX((LoL!$L$11:$L$26=$B75)*LoL!$F$11:$F$26)),0)</f>
        <v>0</v>
      </c>
      <c r="F75" s="130" t="n">
        <f aca="false">IFERROR(SUMPRODUCT(MAX(('PUBG Mobile'!$L$11:$L$42=$B75)*'PUBG Mobile'!$F$11:$F$42)),0)</f>
        <v>0</v>
      </c>
      <c r="G75" s="130" t="n">
        <f aca="false">IFERROR(SUMPRODUCT(MAX(('Fortnite Reload'!$L$11:$L$50=$B75)*'Fortnite Reload'!$F$11:$F$50)),0)</f>
        <v>0</v>
      </c>
      <c r="H75" s="130" t="n">
        <f aca="false">IFERROR(SUMPRODUCT(MAX((Trackmania!$M$11:$M$42=$B75)*Trackmania!$G$11:$G$42)),0)</f>
        <v>0</v>
      </c>
      <c r="I75" s="130" t="n">
        <f aca="false">IFERROR(SUMPRODUCT(MAX(('Dota 2'!$N$11:$N$34=$B75)*'Dota 2'!$H$11:$H$34)),0)</f>
        <v>0</v>
      </c>
      <c r="J75" s="130" t="n">
        <f aca="false">IFERROR(SUMPRODUCT(MAX(('Tekken 8'!$N$11:$N$42=$B75)*'Tekken 8'!$H$11:$H$42)),0)</f>
        <v>0</v>
      </c>
      <c r="K75" s="130" t="n">
        <f aca="false">IFERROR(SUMPRODUCT(MAX(('Street Fighter 6'!$O$11:$O$42=$B75)*'Street Fighter 6'!$I$11:$I$42)),0)</f>
        <v>0</v>
      </c>
      <c r="L75" s="130" t="n">
        <f aca="false">IFERROR(SUMPRODUCT(MAX(('Fatal Fury CotW'!$L$11:$L$42=$B75)*'Fatal Fury CotW'!$F$11:$F$42)),0)</f>
        <v>0</v>
      </c>
      <c r="M75" s="130" t="n">
        <f aca="false">IFERROR(SUMPRODUCT(MAX((TFT!$N$11:$N$26=$B75)*TFT!$H$11:$H$26)),0)</f>
        <v>0</v>
      </c>
      <c r="N75" s="130" t="n">
        <f aca="false">IFERROR(SUMPRODUCT(MAX(('Rainbow Six'!$P$11:$P$32=$B75)*'Rainbow Six'!$J$11:$J$32)),0)</f>
        <v>0</v>
      </c>
      <c r="O75" s="130" t="n">
        <f aca="false">IFERROR(SUMPRODUCT(MAX((Warzone!$M$11:$M$42=$B75)*Warzone!$G$11:$G$42)),0)</f>
        <v>0</v>
      </c>
      <c r="P75" s="130" t="n">
        <f aca="false">IFERROR(SUMPRODUCT(MAX((Valorant!$N$11:$N$26=$B75)*Valorant!$H$11:$H$26)),0)</f>
        <v>0</v>
      </c>
      <c r="Q75" s="130" t="n">
        <f aca="false">IFERROR(SUMPRODUCT(MAX(('MLBB (MSC)'!$M$11:$M$35=$B75)*'MLBB (MSC)'!$G$11:$G$35)),0)</f>
        <v>0</v>
      </c>
      <c r="R75" s="130" t="n">
        <f aca="false">IFERROR(SUMPRODUCT(MAX(('Apex Legends'!$O$11:$O$50=$B75)*'Apex Legends'!$I$11:$I$50)),0)</f>
        <v>0</v>
      </c>
      <c r="S75" s="130" t="n">
        <f aca="false">IFERROR(SUMPRODUCT(MAX(('Honor of Kings'!$N$11:$N$30=$B75)*'Honor of Kings'!$H$11:$H$30)),0)</f>
        <v>0</v>
      </c>
      <c r="T75" s="130" t="n">
        <f aca="false">IFERROR(SUMPRODUCT(MAX((CrossFire!$L$11:$L$26=$B75)*CrossFire!$F$11:$F$26)),0)</f>
        <v>0</v>
      </c>
      <c r="U75" s="130" t="n">
        <f aca="false">IFERROR(SUMPRODUCT(MAX(('Free Fire'!$M$11:$M$34=$B75)*'Free Fire'!$G$11:$G$34)),0)</f>
        <v>100</v>
      </c>
      <c r="V75" s="130" t="n">
        <f aca="false">IFERROR(SUMPRODUCT(MAX(('EA FC 26'!$N$11:$N$46=$B75)*'EA FC 26'!$H$11:$H$46)),0)</f>
        <v>0</v>
      </c>
      <c r="W75" s="130" t="n">
        <f aca="false">IFERROR(SUMPRODUCT(MAX(('Black Ops 7'!$O$11:$O$26=$B75)*'Black Ops 7'!$J$11:$J$26)),0)</f>
        <v>0</v>
      </c>
      <c r="X75" s="130" t="n">
        <f aca="false">IFERROR(SUMPRODUCT(MAX(('Rocket League'!$P$11:$P$26=$B75)*'Rocket League'!$J$11:$J$26)),0)</f>
        <v>0</v>
      </c>
      <c r="Y75" s="130" t="n">
        <f aca="false">IFERROR(SUMPRODUCT(MAX(('Overwatch 2'!$L$11:$L$26=$B75)*'Overwatch 2'!$F$11:$F$26)),0)</f>
        <v>0</v>
      </c>
      <c r="Z75" s="130" t="n">
        <f aca="false">IFERROR(SUMPRODUCT(MAX((PUBG!$L$11:$L$34=$B75)*PUBG!$F$11:$F$34)),0)</f>
        <v>0</v>
      </c>
      <c r="AA75" s="130" t="n">
        <f aca="false">IFERROR(SUMPRODUCT(MAX(('MLBB Women'!$L$11:$L$26=$B75)*'MLBB Women'!$F$11:$F$26)),0)</f>
        <v>0</v>
      </c>
      <c r="AB75" s="130" t="n">
        <f aca="false">SUM(C75:AA75)</f>
        <v>100</v>
      </c>
      <c r="AC75" s="130" t="n">
        <v>100</v>
      </c>
      <c r="AD75" s="200" t="n">
        <f aca="false">AB75-AC75</f>
        <v>0</v>
      </c>
      <c r="AE75" s="82" t="str">
        <f aca="false">IF(AB75=0,"not started",IF(AD75=0,"reconciled",IF(AD75&gt;0,"CHECK NAMES","in progress")))</f>
        <v>reconciled</v>
      </c>
    </row>
    <row r="76" customFormat="false" ht="15" hidden="false" customHeight="true" outlineLevel="0" collapsed="false">
      <c r="B76" s="92" t="s">
        <v>312</v>
      </c>
      <c r="C76" s="130" t="n">
        <f aca="false">IFERROR(SUMIF(CS2!$L$11:$L$42,$B76,CS2!$F$11:$F$42),0)</f>
        <v>0</v>
      </c>
      <c r="D76" s="130" t="n">
        <f aca="false">IFERROR(SUMPRODUCT(MAX((Chess!$L$11:$L$32=$B76)*Chess!$F$11:$F$32)),0)</f>
        <v>0</v>
      </c>
      <c r="E76" s="130" t="n">
        <f aca="false">IFERROR(SUMPRODUCT(MAX((LoL!$L$11:$L$26=$B76)*LoL!$F$11:$F$26)),0)</f>
        <v>0</v>
      </c>
      <c r="F76" s="130" t="n">
        <f aca="false">IFERROR(SUMPRODUCT(MAX(('PUBG Mobile'!$L$11:$L$42=$B76)*'PUBG Mobile'!$F$11:$F$42)),0)</f>
        <v>0</v>
      </c>
      <c r="G76" s="130" t="n">
        <f aca="false">IFERROR(SUMPRODUCT(MAX(('Fortnite Reload'!$L$11:$L$50=$B76)*'Fortnite Reload'!$F$11:$F$50)),0)</f>
        <v>100</v>
      </c>
      <c r="H76" s="130" t="n">
        <f aca="false">IFERROR(SUMPRODUCT(MAX((Trackmania!$M$11:$M$42=$B76)*Trackmania!$G$11:$G$42)),0)</f>
        <v>0</v>
      </c>
      <c r="I76" s="130" t="n">
        <f aca="false">IFERROR(SUMPRODUCT(MAX(('Dota 2'!$N$11:$N$34=$B76)*'Dota 2'!$H$11:$H$34)),0)</f>
        <v>0</v>
      </c>
      <c r="J76" s="130" t="n">
        <f aca="false">IFERROR(SUMPRODUCT(MAX(('Tekken 8'!$N$11:$N$42=$B76)*'Tekken 8'!$H$11:$H$42)),0)</f>
        <v>0</v>
      </c>
      <c r="K76" s="130" t="n">
        <f aca="false">IFERROR(SUMPRODUCT(MAX(('Street Fighter 6'!$O$11:$O$42=$B76)*'Street Fighter 6'!$I$11:$I$42)),0)</f>
        <v>0</v>
      </c>
      <c r="L76" s="130" t="n">
        <f aca="false">IFERROR(SUMPRODUCT(MAX(('Fatal Fury CotW'!$L$11:$L$42=$B76)*'Fatal Fury CotW'!$F$11:$F$42)),0)</f>
        <v>0</v>
      </c>
      <c r="M76" s="130" t="n">
        <f aca="false">IFERROR(SUMPRODUCT(MAX((TFT!$N$11:$N$26=$B76)*TFT!$H$11:$H$26)),0)</f>
        <v>0</v>
      </c>
      <c r="N76" s="130" t="n">
        <f aca="false">IFERROR(SUMPRODUCT(MAX(('Rainbow Six'!$P$11:$P$32=$B76)*'Rainbow Six'!$J$11:$J$32)),0)</f>
        <v>0</v>
      </c>
      <c r="O76" s="130" t="n">
        <f aca="false">IFERROR(SUMPRODUCT(MAX((Warzone!$M$11:$M$42=$B76)*Warzone!$G$11:$G$42)),0)</f>
        <v>0</v>
      </c>
      <c r="P76" s="130" t="n">
        <f aca="false">IFERROR(SUMPRODUCT(MAX((Valorant!$N$11:$N$26=$B76)*Valorant!$H$11:$H$26)),0)</f>
        <v>0</v>
      </c>
      <c r="Q76" s="130" t="n">
        <f aca="false">IFERROR(SUMPRODUCT(MAX(('MLBB (MSC)'!$M$11:$M$35=$B76)*'MLBB (MSC)'!$G$11:$G$35)),0)</f>
        <v>0</v>
      </c>
      <c r="R76" s="130" t="n">
        <f aca="false">IFERROR(SUMPRODUCT(MAX(('Apex Legends'!$O$11:$O$50=$B76)*'Apex Legends'!$I$11:$I$50)),0)</f>
        <v>0</v>
      </c>
      <c r="S76" s="130" t="n">
        <f aca="false">IFERROR(SUMPRODUCT(MAX(('Honor of Kings'!$N$11:$N$30=$B76)*'Honor of Kings'!$H$11:$H$30)),0)</f>
        <v>0</v>
      </c>
      <c r="T76" s="130" t="n">
        <f aca="false">IFERROR(SUMPRODUCT(MAX((CrossFire!$L$11:$L$26=$B76)*CrossFire!$F$11:$F$26)),0)</f>
        <v>0</v>
      </c>
      <c r="U76" s="130" t="n">
        <f aca="false">IFERROR(SUMPRODUCT(MAX(('Free Fire'!$M$11:$M$34=$B76)*'Free Fire'!$G$11:$G$34)),0)</f>
        <v>0</v>
      </c>
      <c r="V76" s="130" t="n">
        <f aca="false">IFERROR(SUMPRODUCT(MAX(('EA FC 26'!$N$11:$N$46=$B76)*'EA FC 26'!$H$11:$H$46)),0)</f>
        <v>0</v>
      </c>
      <c r="W76" s="130" t="n">
        <f aca="false">IFERROR(SUMPRODUCT(MAX(('Black Ops 7'!$O$11:$O$26=$B76)*'Black Ops 7'!$J$11:$J$26)),0)</f>
        <v>0</v>
      </c>
      <c r="X76" s="130" t="n">
        <f aca="false">IFERROR(SUMPRODUCT(MAX(('Rocket League'!$P$11:$P$26=$B76)*'Rocket League'!$J$11:$J$26)),0)</f>
        <v>0</v>
      </c>
      <c r="Y76" s="130" t="n">
        <f aca="false">IFERROR(SUMPRODUCT(MAX(('Overwatch 2'!$L$11:$L$26=$B76)*'Overwatch 2'!$F$11:$F$26)),0)</f>
        <v>0</v>
      </c>
      <c r="Z76" s="130" t="n">
        <f aca="false">IFERROR(SUMPRODUCT(MAX((PUBG!$L$11:$L$34=$B76)*PUBG!$F$11:$F$34)),0)</f>
        <v>0</v>
      </c>
      <c r="AA76" s="130" t="n">
        <f aca="false">IFERROR(SUMPRODUCT(MAX(('MLBB Women'!$L$11:$L$26=$B76)*'MLBB Women'!$F$11:$F$26)),0)</f>
        <v>0</v>
      </c>
      <c r="AB76" s="130" t="n">
        <f aca="false">SUM(C76:AA76)</f>
        <v>100</v>
      </c>
      <c r="AC76" s="130" t="n">
        <v>100</v>
      </c>
      <c r="AD76" s="200" t="n">
        <f aca="false">AB76-AC76</f>
        <v>0</v>
      </c>
      <c r="AE76" s="82" t="str">
        <f aca="false">IF(AB76=0,"not started",IF(AD76=0,"reconciled",IF(AD76&gt;0,"CHECK NAMES","in progress")))</f>
        <v>reconciled</v>
      </c>
    </row>
    <row r="77" customFormat="false" ht="15" hidden="false" customHeight="true" outlineLevel="0" collapsed="false">
      <c r="B77" s="92" t="s">
        <v>533</v>
      </c>
      <c r="C77" s="130" t="n">
        <f aca="false">IFERROR(SUMIF(CS2!$L$11:$L$42,$B77,CS2!$F$11:$F$42),0)</f>
        <v>0</v>
      </c>
      <c r="D77" s="130" t="n">
        <f aca="false">IFERROR(SUMPRODUCT(MAX((Chess!$L$11:$L$32=$B77)*Chess!$F$11:$F$32)),0)</f>
        <v>0</v>
      </c>
      <c r="E77" s="130" t="n">
        <f aca="false">IFERROR(SUMPRODUCT(MAX((LoL!$L$11:$L$26=$B77)*LoL!$F$11:$F$26)),0)</f>
        <v>0</v>
      </c>
      <c r="F77" s="130" t="n">
        <f aca="false">IFERROR(SUMPRODUCT(MAX(('PUBG Mobile'!$L$11:$L$42=$B77)*'PUBG Mobile'!$F$11:$F$42)),0)</f>
        <v>100</v>
      </c>
      <c r="G77" s="130" t="n">
        <f aca="false">IFERROR(SUMPRODUCT(MAX(('Fortnite Reload'!$L$11:$L$50=$B77)*'Fortnite Reload'!$F$11:$F$50)),0)</f>
        <v>0</v>
      </c>
      <c r="H77" s="130" t="n">
        <f aca="false">IFERROR(SUMPRODUCT(MAX((Trackmania!$M$11:$M$42=$B77)*Trackmania!$G$11:$G$42)),0)</f>
        <v>0</v>
      </c>
      <c r="I77" s="130" t="n">
        <f aca="false">IFERROR(SUMPRODUCT(MAX(('Dota 2'!$N$11:$N$34=$B77)*'Dota 2'!$H$11:$H$34)),0)</f>
        <v>0</v>
      </c>
      <c r="J77" s="130" t="n">
        <f aca="false">IFERROR(SUMPRODUCT(MAX(('Tekken 8'!$N$11:$N$42=$B77)*'Tekken 8'!$H$11:$H$42)),0)</f>
        <v>0</v>
      </c>
      <c r="K77" s="130" t="n">
        <f aca="false">IFERROR(SUMPRODUCT(MAX(('Street Fighter 6'!$O$11:$O$42=$B77)*'Street Fighter 6'!$I$11:$I$42)),0)</f>
        <v>0</v>
      </c>
      <c r="L77" s="130" t="n">
        <f aca="false">IFERROR(SUMPRODUCT(MAX(('Fatal Fury CotW'!$L$11:$L$42=$B77)*'Fatal Fury CotW'!$F$11:$F$42)),0)</f>
        <v>0</v>
      </c>
      <c r="M77" s="130" t="n">
        <f aca="false">IFERROR(SUMPRODUCT(MAX((TFT!$N$11:$N$26=$B77)*TFT!$H$11:$H$26)),0)</f>
        <v>0</v>
      </c>
      <c r="N77" s="130" t="n">
        <f aca="false">IFERROR(SUMPRODUCT(MAX(('Rainbow Six'!$P$11:$P$32=$B77)*'Rainbow Six'!$J$11:$J$32)),0)</f>
        <v>0</v>
      </c>
      <c r="O77" s="130" t="n">
        <f aca="false">IFERROR(SUMPRODUCT(MAX((Warzone!$M$11:$M$42=$B77)*Warzone!$G$11:$G$42)),0)</f>
        <v>0</v>
      </c>
      <c r="P77" s="130" t="n">
        <f aca="false">IFERROR(SUMPRODUCT(MAX((Valorant!$N$11:$N$26=$B77)*Valorant!$H$11:$H$26)),0)</f>
        <v>0</v>
      </c>
      <c r="Q77" s="130" t="n">
        <f aca="false">IFERROR(SUMPRODUCT(MAX(('MLBB (MSC)'!$M$11:$M$35=$B77)*'MLBB (MSC)'!$G$11:$G$35)),0)</f>
        <v>0</v>
      </c>
      <c r="R77" s="130" t="n">
        <f aca="false">IFERROR(SUMPRODUCT(MAX(('Apex Legends'!$O$11:$O$50=$B77)*'Apex Legends'!$I$11:$I$50)),0)</f>
        <v>0</v>
      </c>
      <c r="S77" s="130" t="n">
        <f aca="false">IFERROR(SUMPRODUCT(MAX(('Honor of Kings'!$N$11:$N$30=$B77)*'Honor of Kings'!$H$11:$H$30)),0)</f>
        <v>0</v>
      </c>
      <c r="T77" s="130" t="n">
        <f aca="false">IFERROR(SUMPRODUCT(MAX((CrossFire!$L$11:$L$26=$B77)*CrossFire!$F$11:$F$26)),0)</f>
        <v>0</v>
      </c>
      <c r="U77" s="130" t="n">
        <f aca="false">IFERROR(SUMPRODUCT(MAX(('Free Fire'!$M$11:$M$34=$B77)*'Free Fire'!$G$11:$G$34)),0)</f>
        <v>0</v>
      </c>
      <c r="V77" s="130" t="n">
        <f aca="false">IFERROR(SUMPRODUCT(MAX(('EA FC 26'!$N$11:$N$46=$B77)*'EA FC 26'!$H$11:$H$46)),0)</f>
        <v>0</v>
      </c>
      <c r="W77" s="130" t="n">
        <f aca="false">IFERROR(SUMPRODUCT(MAX(('Black Ops 7'!$O$11:$O$26=$B77)*'Black Ops 7'!$J$11:$J$26)),0)</f>
        <v>0</v>
      </c>
      <c r="X77" s="130" t="n">
        <f aca="false">IFERROR(SUMPRODUCT(MAX(('Rocket League'!$P$11:$P$26=$B77)*'Rocket League'!$J$11:$J$26)),0)</f>
        <v>0</v>
      </c>
      <c r="Y77" s="130" t="n">
        <f aca="false">IFERROR(SUMPRODUCT(MAX(('Overwatch 2'!$L$11:$L$26=$B77)*'Overwatch 2'!$F$11:$F$26)),0)</f>
        <v>0</v>
      </c>
      <c r="Z77" s="130" t="n">
        <f aca="false">IFERROR(SUMPRODUCT(MAX((PUBG!$L$11:$L$34=$B77)*PUBG!$F$11:$F$34)),0)</f>
        <v>0</v>
      </c>
      <c r="AA77" s="130" t="n">
        <f aca="false">IFERROR(SUMPRODUCT(MAX(('MLBB Women'!$L$11:$L$26=$B77)*'MLBB Women'!$F$11:$F$26)),0)</f>
        <v>0</v>
      </c>
      <c r="AB77" s="130" t="n">
        <f aca="false">SUM(C77:AA77)</f>
        <v>100</v>
      </c>
      <c r="AC77" s="130" t="n">
        <v>100</v>
      </c>
      <c r="AD77" s="200" t="n">
        <f aca="false">AB77-AC77</f>
        <v>0</v>
      </c>
      <c r="AE77" s="82" t="str">
        <f aca="false">IF(AB77=0,"not started",IF(AD77=0,"reconciled",IF(AD77&gt;0,"CHECK NAMES","in progress")))</f>
        <v>reconciled</v>
      </c>
    </row>
    <row r="78" customFormat="false" ht="15" hidden="false" customHeight="true" outlineLevel="0" collapsed="false">
      <c r="B78" s="92" t="s">
        <v>366</v>
      </c>
      <c r="C78" s="130" t="n">
        <f aca="false">IFERROR(SUMIF(CS2!$L$11:$L$42,$B78,CS2!$F$11:$F$42),0)</f>
        <v>0</v>
      </c>
      <c r="D78" s="130" t="n">
        <f aca="false">IFERROR(SUMPRODUCT(MAX((Chess!$L$11:$L$32=$B78)*Chess!$F$11:$F$32)),0)</f>
        <v>0</v>
      </c>
      <c r="E78" s="130" t="n">
        <f aca="false">IFERROR(SUMPRODUCT(MAX((LoL!$L$11:$L$26=$B78)*LoL!$F$11:$F$26)),0)</f>
        <v>0</v>
      </c>
      <c r="F78" s="130" t="n">
        <f aca="false">IFERROR(SUMPRODUCT(MAX(('PUBG Mobile'!$L$11:$L$42=$B78)*'PUBG Mobile'!$F$11:$F$42)),0)</f>
        <v>50</v>
      </c>
      <c r="G78" s="130" t="n">
        <f aca="false">IFERROR(SUMPRODUCT(MAX(('Fortnite Reload'!$L$11:$L$50=$B78)*'Fortnite Reload'!$F$11:$F$50)),0)</f>
        <v>0</v>
      </c>
      <c r="H78" s="130" t="n">
        <f aca="false">IFERROR(SUMPRODUCT(MAX((Trackmania!$M$11:$M$42=$B78)*Trackmania!$G$11:$G$42)),0)</f>
        <v>0</v>
      </c>
      <c r="I78" s="130" t="n">
        <f aca="false">IFERROR(SUMPRODUCT(MAX(('Dota 2'!$N$11:$N$34=$B78)*'Dota 2'!$H$11:$H$34)),0)</f>
        <v>0</v>
      </c>
      <c r="J78" s="130" t="n">
        <f aca="false">IFERROR(SUMPRODUCT(MAX(('Tekken 8'!$N$11:$N$42=$B78)*'Tekken 8'!$H$11:$H$42)),0)</f>
        <v>0</v>
      </c>
      <c r="K78" s="130" t="n">
        <f aca="false">IFERROR(SUMPRODUCT(MAX(('Street Fighter 6'!$O$11:$O$42=$B78)*'Street Fighter 6'!$I$11:$I$42)),0)</f>
        <v>0</v>
      </c>
      <c r="L78" s="130" t="n">
        <f aca="false">IFERROR(SUMPRODUCT(MAX(('Fatal Fury CotW'!$L$11:$L$42=$B78)*'Fatal Fury CotW'!$F$11:$F$42)),0)</f>
        <v>0</v>
      </c>
      <c r="M78" s="130" t="n">
        <f aca="false">IFERROR(SUMPRODUCT(MAX((TFT!$N$11:$N$26=$B78)*TFT!$H$11:$H$26)),0)</f>
        <v>0</v>
      </c>
      <c r="N78" s="130" t="n">
        <f aca="false">IFERROR(SUMPRODUCT(MAX(('Rainbow Six'!$P$11:$P$32=$B78)*'Rainbow Six'!$J$11:$J$32)),0)</f>
        <v>0</v>
      </c>
      <c r="O78" s="130" t="n">
        <f aca="false">IFERROR(SUMPRODUCT(MAX((Warzone!$M$11:$M$42=$B78)*Warzone!$G$11:$G$42)),0)</f>
        <v>0</v>
      </c>
      <c r="P78" s="130" t="n">
        <f aca="false">IFERROR(SUMPRODUCT(MAX((Valorant!$N$11:$N$26=$B78)*Valorant!$H$11:$H$26)),0)</f>
        <v>0</v>
      </c>
      <c r="Q78" s="130" t="n">
        <f aca="false">IFERROR(SUMPRODUCT(MAX(('MLBB (MSC)'!$M$11:$M$35=$B78)*'MLBB (MSC)'!$G$11:$G$35)),0)</f>
        <v>0</v>
      </c>
      <c r="R78" s="130" t="n">
        <f aca="false">IFERROR(SUMPRODUCT(MAX(('Apex Legends'!$O$11:$O$50=$B78)*'Apex Legends'!$I$11:$I$50)),0)</f>
        <v>0</v>
      </c>
      <c r="S78" s="130" t="n">
        <f aca="false">IFERROR(SUMPRODUCT(MAX(('Honor of Kings'!$N$11:$N$30=$B78)*'Honor of Kings'!$H$11:$H$30)),0)</f>
        <v>0</v>
      </c>
      <c r="T78" s="130" t="n">
        <f aca="false">IFERROR(SUMPRODUCT(MAX((CrossFire!$L$11:$L$26=$B78)*CrossFire!$F$11:$F$26)),0)</f>
        <v>0</v>
      </c>
      <c r="U78" s="130" t="n">
        <f aca="false">IFERROR(SUMPRODUCT(MAX(('Free Fire'!$M$11:$M$34=$B78)*'Free Fire'!$G$11:$G$34)),0)</f>
        <v>0</v>
      </c>
      <c r="V78" s="130" t="n">
        <f aca="false">IFERROR(SUMPRODUCT(MAX(('EA FC 26'!$N$11:$N$46=$B78)*'EA FC 26'!$H$11:$H$46)),0)</f>
        <v>0</v>
      </c>
      <c r="W78" s="130" t="n">
        <f aca="false">IFERROR(SUMPRODUCT(MAX(('Black Ops 7'!$O$11:$O$26=$B78)*'Black Ops 7'!$J$11:$J$26)),0)</f>
        <v>0</v>
      </c>
      <c r="X78" s="130" t="n">
        <f aca="false">IFERROR(SUMPRODUCT(MAX(('Rocket League'!$P$11:$P$26=$B78)*'Rocket League'!$J$11:$J$26)),0)</f>
        <v>0</v>
      </c>
      <c r="Y78" s="130" t="n">
        <f aca="false">IFERROR(SUMPRODUCT(MAX(('Overwatch 2'!$L$11:$L$26=$B78)*'Overwatch 2'!$F$11:$F$26)),0)</f>
        <v>0</v>
      </c>
      <c r="Z78" s="130" t="n">
        <f aca="false">IFERROR(SUMPRODUCT(MAX((PUBG!$L$11:$L$34=$B78)*PUBG!$F$11:$F$34)),0)</f>
        <v>0</v>
      </c>
      <c r="AA78" s="130" t="n">
        <f aca="false">IFERROR(SUMPRODUCT(MAX(('MLBB Women'!$L$11:$L$26=$B78)*'MLBB Women'!$F$11:$F$26)),0)</f>
        <v>0</v>
      </c>
      <c r="AB78" s="130" t="n">
        <f aca="false">SUM(C78:AA78)</f>
        <v>50</v>
      </c>
      <c r="AC78" s="130" t="n">
        <v>50</v>
      </c>
      <c r="AD78" s="200" t="n">
        <f aca="false">AB78-AC78</f>
        <v>0</v>
      </c>
      <c r="AE78" s="82" t="str">
        <f aca="false">IF(AB78=0,"not started",IF(AD78=0,"reconciled",IF(AD78&gt;0,"CHECK NAMES","in progress")))</f>
        <v>reconciled</v>
      </c>
    </row>
    <row r="79" customFormat="false" ht="15" hidden="false" customHeight="true" outlineLevel="0" collapsed="false">
      <c r="B79" s="92" t="s">
        <v>154</v>
      </c>
      <c r="C79" s="130" t="n">
        <f aca="false">IFERROR(SUMIF(CS2!$L$11:$L$42,$B79,CS2!$F$11:$F$42),0)</f>
        <v>0</v>
      </c>
      <c r="D79" s="130" t="n">
        <f aca="false">IFERROR(SUMPRODUCT(MAX((Chess!$L$11:$L$32=$B79)*Chess!$F$11:$F$32)),0)</f>
        <v>0</v>
      </c>
      <c r="E79" s="130" t="n">
        <f aca="false">IFERROR(SUMPRODUCT(MAX((LoL!$L$11:$L$26=$B79)*LoL!$F$11:$F$26)),0)</f>
        <v>0</v>
      </c>
      <c r="F79" s="130" t="n">
        <f aca="false">IFERROR(SUMPRODUCT(MAX(('PUBG Mobile'!$L$11:$L$42=$B79)*'PUBG Mobile'!$F$11:$F$42)),0)</f>
        <v>0</v>
      </c>
      <c r="G79" s="130" t="n">
        <f aca="false">IFERROR(SUMPRODUCT(MAX(('Fortnite Reload'!$L$11:$L$50=$B79)*'Fortnite Reload'!$F$11:$F$50)),0)</f>
        <v>0</v>
      </c>
      <c r="H79" s="130" t="n">
        <f aca="false">IFERROR(SUMPRODUCT(MAX((Trackmania!$M$11:$M$42=$B79)*Trackmania!$G$11:$G$42)),0)</f>
        <v>0</v>
      </c>
      <c r="I79" s="130" t="n">
        <f aca="false">IFERROR(SUMPRODUCT(MAX(('Dota 2'!$N$11:$N$34=$B79)*'Dota 2'!$H$11:$H$34)),0)</f>
        <v>0</v>
      </c>
      <c r="J79" s="130" t="n">
        <f aca="false">IFERROR(SUMPRODUCT(MAX(('Tekken 8'!$N$11:$N$42=$B79)*'Tekken 8'!$H$11:$H$42)),0)</f>
        <v>0</v>
      </c>
      <c r="K79" s="130" t="n">
        <f aca="false">IFERROR(SUMPRODUCT(MAX(('Street Fighter 6'!$O$11:$O$42=$B79)*'Street Fighter 6'!$I$11:$I$42)),0)</f>
        <v>0</v>
      </c>
      <c r="L79" s="130" t="n">
        <f aca="false">IFERROR(SUMPRODUCT(MAX(('Fatal Fury CotW'!$L$11:$L$42=$B79)*'Fatal Fury CotW'!$F$11:$F$42)),0)</f>
        <v>0</v>
      </c>
      <c r="M79" s="130" t="n">
        <f aca="false">IFERROR(SUMPRODUCT(MAX((TFT!$N$11:$N$26=$B79)*TFT!$H$11:$H$26)),0)</f>
        <v>0</v>
      </c>
      <c r="N79" s="130" t="n">
        <f aca="false">IFERROR(SUMPRODUCT(MAX(('Rainbow Six'!$P$11:$P$32=$B79)*'Rainbow Six'!$J$11:$J$32)),0)</f>
        <v>0</v>
      </c>
      <c r="O79" s="130" t="n">
        <f aca="false">IFERROR(SUMPRODUCT(MAX((Warzone!$M$11:$M$42=$B79)*Warzone!$G$11:$G$42)),0)</f>
        <v>0</v>
      </c>
      <c r="P79" s="130" t="n">
        <f aca="false">IFERROR(SUMPRODUCT(MAX((Valorant!$N$11:$N$26=$B79)*Valorant!$H$11:$H$26)),0)</f>
        <v>0</v>
      </c>
      <c r="Q79" s="130" t="n">
        <f aca="false">IFERROR(SUMPRODUCT(MAX(('MLBB (MSC)'!$M$11:$M$35=$B79)*'MLBB (MSC)'!$G$11:$G$35)),0)</f>
        <v>0</v>
      </c>
      <c r="R79" s="130" t="n">
        <f aca="false">IFERROR(SUMPRODUCT(MAX(('Apex Legends'!$O$11:$O$50=$B79)*'Apex Legends'!$I$11:$I$50)),0)</f>
        <v>0</v>
      </c>
      <c r="S79" s="130" t="n">
        <f aca="false">IFERROR(SUMPRODUCT(MAX(('Honor of Kings'!$N$11:$N$30=$B79)*'Honor of Kings'!$H$11:$H$30)),0)</f>
        <v>0</v>
      </c>
      <c r="T79" s="130" t="n">
        <f aca="false">IFERROR(SUMPRODUCT(MAX((CrossFire!$L$11:$L$26=$B79)*CrossFire!$F$11:$F$26)),0)</f>
        <v>0</v>
      </c>
      <c r="U79" s="130" t="n">
        <f aca="false">IFERROR(SUMPRODUCT(MAX(('Free Fire'!$M$11:$M$34=$B79)*'Free Fire'!$G$11:$G$34)),0)</f>
        <v>0</v>
      </c>
      <c r="V79" s="130" t="n">
        <f aca="false">IFERROR(SUMPRODUCT(MAX(('EA FC 26'!$N$11:$N$46=$B79)*'EA FC 26'!$H$11:$H$46)),0)</f>
        <v>0</v>
      </c>
      <c r="W79" s="130" t="n">
        <f aca="false">IFERROR(SUMPRODUCT(MAX(('Black Ops 7'!$O$11:$O$26=$B79)*'Black Ops 7'!$J$11:$J$26)),0)</f>
        <v>0</v>
      </c>
      <c r="X79" s="130" t="n">
        <f aca="false">IFERROR(SUMPRODUCT(MAX(('Rocket League'!$P$11:$P$26=$B79)*'Rocket League'!$J$11:$J$26)),0)</f>
        <v>0</v>
      </c>
      <c r="Y79" s="130" t="n">
        <f aca="false">IFERROR(SUMPRODUCT(MAX(('Overwatch 2'!$L$11:$L$26=$B79)*'Overwatch 2'!$F$11:$F$26)),0)</f>
        <v>0</v>
      </c>
      <c r="Z79" s="130" t="n">
        <f aca="false">IFERROR(SUMPRODUCT(MAX((PUBG!$L$11:$L$34=$B79)*PUBG!$F$11:$F$34)),0)</f>
        <v>0</v>
      </c>
      <c r="AA79" s="130" t="n">
        <f aca="false">IFERROR(SUMPRODUCT(MAX(('MLBB Women'!$L$11:$L$26=$B79)*'MLBB Women'!$F$11:$F$26)),0)</f>
        <v>0</v>
      </c>
      <c r="AB79" s="130" t="n">
        <f aca="false">SUM(C79:AA79)</f>
        <v>0</v>
      </c>
      <c r="AC79" s="130" t="n">
        <v>0</v>
      </c>
      <c r="AD79" s="200" t="n">
        <f aca="false">AB79-AC79</f>
        <v>0</v>
      </c>
      <c r="AE79" s="82" t="str">
        <f aca="false">IF(AB79=0,"not started",IF(AD79=0,"reconciled",IF(AD79&gt;0,"CHECK NAMES","in progress")))</f>
        <v>not started</v>
      </c>
    </row>
    <row r="80" customFormat="false" ht="15" hidden="false" customHeight="true" outlineLevel="0" collapsed="false">
      <c r="B80" s="92" t="s">
        <v>235</v>
      </c>
      <c r="C80" s="130" t="n">
        <f aca="false">IFERROR(SUMIF(CS2!$L$11:$L$42,$B80,CS2!$F$11:$F$42),0)</f>
        <v>0</v>
      </c>
      <c r="D80" s="130" t="n">
        <f aca="false">IFERROR(SUMPRODUCT(MAX((Chess!$L$11:$L$32=$B80)*Chess!$F$11:$F$32)),0)</f>
        <v>0</v>
      </c>
      <c r="E80" s="130" t="n">
        <f aca="false">IFERROR(SUMPRODUCT(MAX((LoL!$L$11:$L$26=$B80)*LoL!$F$11:$F$26)),0)</f>
        <v>0</v>
      </c>
      <c r="F80" s="130" t="n">
        <f aca="false">IFERROR(SUMPRODUCT(MAX(('PUBG Mobile'!$L$11:$L$42=$B80)*'PUBG Mobile'!$F$11:$F$42)),0)</f>
        <v>0</v>
      </c>
      <c r="G80" s="130" t="n">
        <f aca="false">IFERROR(SUMPRODUCT(MAX(('Fortnite Reload'!$L$11:$L$50=$B80)*'Fortnite Reload'!$F$11:$F$50)),0)</f>
        <v>0</v>
      </c>
      <c r="H80" s="130" t="n">
        <f aca="false">IFERROR(SUMPRODUCT(MAX((Trackmania!$M$11:$M$42=$B80)*Trackmania!$G$11:$G$42)),0)</f>
        <v>0</v>
      </c>
      <c r="I80" s="130" t="n">
        <f aca="false">IFERROR(SUMPRODUCT(MAX(('Dota 2'!$N$11:$N$34=$B80)*'Dota 2'!$H$11:$H$34)),0)</f>
        <v>0</v>
      </c>
      <c r="J80" s="130" t="n">
        <f aca="false">IFERROR(SUMPRODUCT(MAX(('Tekken 8'!$N$11:$N$42=$B80)*'Tekken 8'!$H$11:$H$42)),0)</f>
        <v>0</v>
      </c>
      <c r="K80" s="130" t="n">
        <f aca="false">IFERROR(SUMPRODUCT(MAX(('Street Fighter 6'!$O$11:$O$42=$B80)*'Street Fighter 6'!$I$11:$I$42)),0)</f>
        <v>0</v>
      </c>
      <c r="L80" s="130" t="n">
        <f aca="false">IFERROR(SUMPRODUCT(MAX(('Fatal Fury CotW'!$L$11:$L$42=$B80)*'Fatal Fury CotW'!$F$11:$F$42)),0)</f>
        <v>0</v>
      </c>
      <c r="M80" s="130" t="n">
        <f aca="false">IFERROR(SUMPRODUCT(MAX((TFT!$N$11:$N$26=$B80)*TFT!$H$11:$H$26)),0)</f>
        <v>0</v>
      </c>
      <c r="N80" s="130" t="n">
        <f aca="false">IFERROR(SUMPRODUCT(MAX(('Rainbow Six'!$P$11:$P$32=$B80)*'Rainbow Six'!$J$11:$J$32)),0)</f>
        <v>0</v>
      </c>
      <c r="O80" s="130" t="n">
        <f aca="false">IFERROR(SUMPRODUCT(MAX((Warzone!$M$11:$M$42=$B80)*Warzone!$G$11:$G$42)),0)</f>
        <v>0</v>
      </c>
      <c r="P80" s="130" t="n">
        <f aca="false">IFERROR(SUMPRODUCT(MAX((Valorant!$N$11:$N$26=$B80)*Valorant!$H$11:$H$26)),0)</f>
        <v>0</v>
      </c>
      <c r="Q80" s="130" t="n">
        <f aca="false">IFERROR(SUMPRODUCT(MAX(('MLBB (MSC)'!$M$11:$M$35=$B80)*'MLBB (MSC)'!$G$11:$G$35)),0)</f>
        <v>0</v>
      </c>
      <c r="R80" s="130" t="n">
        <f aca="false">IFERROR(SUMPRODUCT(MAX(('Apex Legends'!$O$11:$O$50=$B80)*'Apex Legends'!$I$11:$I$50)),0)</f>
        <v>0</v>
      </c>
      <c r="S80" s="130" t="n">
        <f aca="false">IFERROR(SUMPRODUCT(MAX(('Honor of Kings'!$N$11:$N$30=$B80)*'Honor of Kings'!$H$11:$H$30)),0)</f>
        <v>0</v>
      </c>
      <c r="T80" s="130" t="n">
        <f aca="false">IFERROR(SUMPRODUCT(MAX((CrossFire!$L$11:$L$26=$B80)*CrossFire!$F$11:$F$26)),0)</f>
        <v>0</v>
      </c>
      <c r="U80" s="130" t="n">
        <f aca="false">IFERROR(SUMPRODUCT(MAX(('Free Fire'!$M$11:$M$34=$B80)*'Free Fire'!$G$11:$G$34)),0)</f>
        <v>0</v>
      </c>
      <c r="V80" s="130" t="n">
        <f aca="false">IFERROR(SUMPRODUCT(MAX(('EA FC 26'!$N$11:$N$46=$B80)*'EA FC 26'!$H$11:$H$46)),0)</f>
        <v>0</v>
      </c>
      <c r="W80" s="130" t="n">
        <f aca="false">IFERROR(SUMPRODUCT(MAX(('Black Ops 7'!$O$11:$O$26=$B80)*'Black Ops 7'!$J$11:$J$26)),0)</f>
        <v>0</v>
      </c>
      <c r="X80" s="130" t="n">
        <f aca="false">IFERROR(SUMPRODUCT(MAX(('Rocket League'!$P$11:$P$26=$B80)*'Rocket League'!$J$11:$J$26)),0)</f>
        <v>0</v>
      </c>
      <c r="Y80" s="130" t="n">
        <f aca="false">IFERROR(SUMPRODUCT(MAX(('Overwatch 2'!$L$11:$L$26=$B80)*'Overwatch 2'!$F$11:$F$26)),0)</f>
        <v>0</v>
      </c>
      <c r="Z80" s="130" t="n">
        <f aca="false">IFERROR(SUMPRODUCT(MAX((PUBG!$L$11:$L$34=$B80)*PUBG!$F$11:$F$34)),0)</f>
        <v>0</v>
      </c>
      <c r="AA80" s="130" t="n">
        <f aca="false">IFERROR(SUMPRODUCT(MAX(('MLBB Women'!$L$11:$L$26=$B80)*'MLBB Women'!$F$11:$F$26)),0)</f>
        <v>0</v>
      </c>
      <c r="AB80" s="130" t="n">
        <f aca="false">SUM(C80:AA80)</f>
        <v>0</v>
      </c>
      <c r="AC80" s="130" t="n">
        <v>0</v>
      </c>
      <c r="AD80" s="200" t="n">
        <f aca="false">AB80-AC80</f>
        <v>0</v>
      </c>
      <c r="AE80" s="82" t="str">
        <f aca="false">IF(AB80=0,"not started",IF(AD80=0,"reconciled",IF(AD80&gt;0,"CHECK NAMES","in progress")))</f>
        <v>not started</v>
      </c>
    </row>
    <row r="81" customFormat="false" ht="15" hidden="false" customHeight="true" outlineLevel="0" collapsed="false">
      <c r="B81" s="92" t="s">
        <v>277</v>
      </c>
      <c r="C81" s="130" t="n">
        <f aca="false">IFERROR(SUMIF(CS2!$L$11:$L$42,$B81,CS2!$F$11:$F$42),0)</f>
        <v>0</v>
      </c>
      <c r="D81" s="130" t="n">
        <f aca="false">IFERROR(SUMPRODUCT(MAX((Chess!$L$11:$L$32=$B81)*Chess!$F$11:$F$32)),0)</f>
        <v>0</v>
      </c>
      <c r="E81" s="130" t="n">
        <f aca="false">IFERROR(SUMPRODUCT(MAX((LoL!$L$11:$L$26=$B81)*LoL!$F$11:$F$26)),0)</f>
        <v>0</v>
      </c>
      <c r="F81" s="130" t="n">
        <f aca="false">IFERROR(SUMPRODUCT(MAX(('PUBG Mobile'!$L$11:$L$42=$B81)*'PUBG Mobile'!$F$11:$F$42)),0)</f>
        <v>0</v>
      </c>
      <c r="G81" s="130" t="n">
        <f aca="false">IFERROR(SUMPRODUCT(MAX(('Fortnite Reload'!$L$11:$L$50=$B81)*'Fortnite Reload'!$F$11:$F$50)),0)</f>
        <v>0</v>
      </c>
      <c r="H81" s="130" t="n">
        <f aca="false">IFERROR(SUMPRODUCT(MAX((Trackmania!$M$11:$M$42=$B81)*Trackmania!$G$11:$G$42)),0)</f>
        <v>0</v>
      </c>
      <c r="I81" s="130" t="n">
        <f aca="false">IFERROR(SUMPRODUCT(MAX(('Dota 2'!$N$11:$N$34=$B81)*'Dota 2'!$H$11:$H$34)),0)</f>
        <v>0</v>
      </c>
      <c r="J81" s="130" t="n">
        <f aca="false">IFERROR(SUMPRODUCT(MAX(('Tekken 8'!$N$11:$N$42=$B81)*'Tekken 8'!$H$11:$H$42)),0)</f>
        <v>0</v>
      </c>
      <c r="K81" s="130" t="n">
        <f aca="false">IFERROR(SUMPRODUCT(MAX(('Street Fighter 6'!$O$11:$O$42=$B81)*'Street Fighter 6'!$I$11:$I$42)),0)</f>
        <v>0</v>
      </c>
      <c r="L81" s="130" t="n">
        <f aca="false">IFERROR(SUMPRODUCT(MAX(('Fatal Fury CotW'!$L$11:$L$42=$B81)*'Fatal Fury CotW'!$F$11:$F$42)),0)</f>
        <v>0</v>
      </c>
      <c r="M81" s="130" t="n">
        <f aca="false">IFERROR(SUMPRODUCT(MAX((TFT!$N$11:$N$26=$B81)*TFT!$H$11:$H$26)),0)</f>
        <v>0</v>
      </c>
      <c r="N81" s="130" t="n">
        <f aca="false">IFERROR(SUMPRODUCT(MAX(('Rainbow Six'!$P$11:$P$32=$B81)*'Rainbow Six'!$J$11:$J$32)),0)</f>
        <v>0</v>
      </c>
      <c r="O81" s="130" t="n">
        <f aca="false">IFERROR(SUMPRODUCT(MAX((Warzone!$M$11:$M$42=$B81)*Warzone!$G$11:$G$42)),0)</f>
        <v>0</v>
      </c>
      <c r="P81" s="130" t="n">
        <f aca="false">IFERROR(SUMPRODUCT(MAX((Valorant!$N$11:$N$26=$B81)*Valorant!$H$11:$H$26)),0)</f>
        <v>0</v>
      </c>
      <c r="Q81" s="130" t="n">
        <f aca="false">IFERROR(SUMPRODUCT(MAX(('MLBB (MSC)'!$M$11:$M$35=$B81)*'MLBB (MSC)'!$G$11:$G$35)),0)</f>
        <v>0</v>
      </c>
      <c r="R81" s="130" t="n">
        <f aca="false">IFERROR(SUMPRODUCT(MAX(('Apex Legends'!$O$11:$O$50=$B81)*'Apex Legends'!$I$11:$I$50)),0)</f>
        <v>0</v>
      </c>
      <c r="S81" s="130" t="n">
        <f aca="false">IFERROR(SUMPRODUCT(MAX(('Honor of Kings'!$N$11:$N$30=$B81)*'Honor of Kings'!$H$11:$H$30)),0)</f>
        <v>0</v>
      </c>
      <c r="T81" s="130" t="n">
        <f aca="false">IFERROR(SUMPRODUCT(MAX((CrossFire!$L$11:$L$26=$B81)*CrossFire!$F$11:$F$26)),0)</f>
        <v>0</v>
      </c>
      <c r="U81" s="130" t="n">
        <f aca="false">IFERROR(SUMPRODUCT(MAX(('Free Fire'!$M$11:$M$34=$B81)*'Free Fire'!$G$11:$G$34)),0)</f>
        <v>0</v>
      </c>
      <c r="V81" s="130" t="n">
        <f aca="false">IFERROR(SUMPRODUCT(MAX(('EA FC 26'!$N$11:$N$46=$B81)*'EA FC 26'!$H$11:$H$46)),0)</f>
        <v>0</v>
      </c>
      <c r="W81" s="130" t="n">
        <f aca="false">IFERROR(SUMPRODUCT(MAX(('Black Ops 7'!$O$11:$O$26=$B81)*'Black Ops 7'!$J$11:$J$26)),0)</f>
        <v>0</v>
      </c>
      <c r="X81" s="130" t="n">
        <f aca="false">IFERROR(SUMPRODUCT(MAX(('Rocket League'!$P$11:$P$26=$B81)*'Rocket League'!$J$11:$J$26)),0)</f>
        <v>0</v>
      </c>
      <c r="Y81" s="130" t="n">
        <f aca="false">IFERROR(SUMPRODUCT(MAX(('Overwatch 2'!$L$11:$L$26=$B81)*'Overwatch 2'!$F$11:$F$26)),0)</f>
        <v>0</v>
      </c>
      <c r="Z81" s="130" t="n">
        <f aca="false">IFERROR(SUMPRODUCT(MAX((PUBG!$L$11:$L$34=$B81)*PUBG!$F$11:$F$34)),0)</f>
        <v>0</v>
      </c>
      <c r="AA81" s="130" t="n">
        <f aca="false">IFERROR(SUMPRODUCT(MAX(('MLBB Women'!$L$11:$L$26=$B81)*'MLBB Women'!$F$11:$F$26)),0)</f>
        <v>0</v>
      </c>
      <c r="AB81" s="130" t="n">
        <f aca="false">SUM(C81:AA81)</f>
        <v>0</v>
      </c>
      <c r="AC81" s="130" t="n">
        <v>0</v>
      </c>
      <c r="AD81" s="200" t="n">
        <f aca="false">AB81-AC81</f>
        <v>0</v>
      </c>
      <c r="AE81" s="82" t="str">
        <f aca="false">IF(AB81=0,"not started",IF(AD81=0,"reconciled",IF(AD81&gt;0,"CHECK NAMES","in progress")))</f>
        <v>not started</v>
      </c>
    </row>
    <row r="82" customFormat="false" ht="15" hidden="false" customHeight="true" outlineLevel="0" collapsed="false">
      <c r="B82" s="92" t="s">
        <v>200</v>
      </c>
      <c r="C82" s="130" t="n">
        <f aca="false">IFERROR(SUMIF(CS2!$L$11:$L$42,$B82,CS2!$F$11:$F$42),0)</f>
        <v>0</v>
      </c>
      <c r="D82" s="130" t="n">
        <f aca="false">IFERROR(SUMPRODUCT(MAX((Chess!$L$11:$L$32=$B82)*Chess!$F$11:$F$32)),0)</f>
        <v>0</v>
      </c>
      <c r="E82" s="130" t="n">
        <f aca="false">IFERROR(SUMPRODUCT(MAX((LoL!$L$11:$L$26=$B82)*LoL!$F$11:$F$26)),0)</f>
        <v>0</v>
      </c>
      <c r="F82" s="130" t="n">
        <f aca="false">IFERROR(SUMPRODUCT(MAX(('PUBG Mobile'!$L$11:$L$42=$B82)*'PUBG Mobile'!$F$11:$F$42)),0)</f>
        <v>0</v>
      </c>
      <c r="G82" s="130" t="n">
        <f aca="false">IFERROR(SUMPRODUCT(MAX(('Fortnite Reload'!$L$11:$L$50=$B82)*'Fortnite Reload'!$F$11:$F$50)),0)</f>
        <v>0</v>
      </c>
      <c r="H82" s="130" t="n">
        <f aca="false">IFERROR(SUMPRODUCT(MAX((Trackmania!$M$11:$M$42=$B82)*Trackmania!$G$11:$G$42)),0)</f>
        <v>0</v>
      </c>
      <c r="I82" s="130" t="n">
        <f aca="false">IFERROR(SUMPRODUCT(MAX(('Dota 2'!$N$11:$N$34=$B82)*'Dota 2'!$H$11:$H$34)),0)</f>
        <v>0</v>
      </c>
      <c r="J82" s="130" t="n">
        <f aca="false">IFERROR(SUMPRODUCT(MAX(('Tekken 8'!$N$11:$N$42=$B82)*'Tekken 8'!$H$11:$H$42)),0)</f>
        <v>0</v>
      </c>
      <c r="K82" s="130" t="n">
        <f aca="false">IFERROR(SUMPRODUCT(MAX(('Street Fighter 6'!$O$11:$O$42=$B82)*'Street Fighter 6'!$I$11:$I$42)),0)</f>
        <v>0</v>
      </c>
      <c r="L82" s="130" t="n">
        <f aca="false">IFERROR(SUMPRODUCT(MAX(('Fatal Fury CotW'!$L$11:$L$42=$B82)*'Fatal Fury CotW'!$F$11:$F$42)),0)</f>
        <v>0</v>
      </c>
      <c r="M82" s="130" t="n">
        <f aca="false">IFERROR(SUMPRODUCT(MAX((TFT!$N$11:$N$26=$B82)*TFT!$H$11:$H$26)),0)</f>
        <v>0</v>
      </c>
      <c r="N82" s="130" t="n">
        <f aca="false">IFERROR(SUMPRODUCT(MAX(('Rainbow Six'!$P$11:$P$32=$B82)*'Rainbow Six'!$J$11:$J$32)),0)</f>
        <v>0</v>
      </c>
      <c r="O82" s="130" t="n">
        <f aca="false">IFERROR(SUMPRODUCT(MAX((Warzone!$M$11:$M$42=$B82)*Warzone!$G$11:$G$42)),0)</f>
        <v>0</v>
      </c>
      <c r="P82" s="130" t="n">
        <f aca="false">IFERROR(SUMPRODUCT(MAX((Valorant!$N$11:$N$26=$B82)*Valorant!$H$11:$H$26)),0)</f>
        <v>0</v>
      </c>
      <c r="Q82" s="130" t="n">
        <f aca="false">IFERROR(SUMPRODUCT(MAX(('MLBB (MSC)'!$M$11:$M$35=$B82)*'MLBB (MSC)'!$G$11:$G$35)),0)</f>
        <v>0</v>
      </c>
      <c r="R82" s="130" t="n">
        <f aca="false">IFERROR(SUMPRODUCT(MAX(('Apex Legends'!$O$11:$O$50=$B82)*'Apex Legends'!$I$11:$I$50)),0)</f>
        <v>0</v>
      </c>
      <c r="S82" s="130" t="n">
        <f aca="false">IFERROR(SUMPRODUCT(MAX(('Honor of Kings'!$N$11:$N$30=$B82)*'Honor of Kings'!$H$11:$H$30)),0)</f>
        <v>0</v>
      </c>
      <c r="T82" s="130" t="n">
        <f aca="false">IFERROR(SUMPRODUCT(MAX((CrossFire!$L$11:$L$26=$B82)*CrossFire!$F$11:$F$26)),0)</f>
        <v>0</v>
      </c>
      <c r="U82" s="130" t="n">
        <f aca="false">IFERROR(SUMPRODUCT(MAX(('Free Fire'!$M$11:$M$34=$B82)*'Free Fire'!$G$11:$G$34)),0)</f>
        <v>0</v>
      </c>
      <c r="V82" s="130" t="n">
        <f aca="false">IFERROR(SUMPRODUCT(MAX(('EA FC 26'!$N$11:$N$46=$B82)*'EA FC 26'!$H$11:$H$46)),0)</f>
        <v>0</v>
      </c>
      <c r="W82" s="130" t="n">
        <f aca="false">IFERROR(SUMPRODUCT(MAX(('Black Ops 7'!$O$11:$O$26=$B82)*'Black Ops 7'!$J$11:$J$26)),0)</f>
        <v>0</v>
      </c>
      <c r="X82" s="130" t="n">
        <f aca="false">IFERROR(SUMPRODUCT(MAX(('Rocket League'!$P$11:$P$26=$B82)*'Rocket League'!$J$11:$J$26)),0)</f>
        <v>0</v>
      </c>
      <c r="Y82" s="130" t="n">
        <f aca="false">IFERROR(SUMPRODUCT(MAX(('Overwatch 2'!$L$11:$L$26=$B82)*'Overwatch 2'!$F$11:$F$26)),0)</f>
        <v>0</v>
      </c>
      <c r="Z82" s="130" t="n">
        <f aca="false">IFERROR(SUMPRODUCT(MAX((PUBG!$L$11:$L$34=$B82)*PUBG!$F$11:$F$34)),0)</f>
        <v>0</v>
      </c>
      <c r="AA82" s="130" t="n">
        <f aca="false">IFERROR(SUMPRODUCT(MAX(('MLBB Women'!$L$11:$L$26=$B82)*'MLBB Women'!$F$11:$F$26)),0)</f>
        <v>0</v>
      </c>
      <c r="AB82" s="130" t="n">
        <f aca="false">SUM(C82:AA82)</f>
        <v>0</v>
      </c>
      <c r="AC82" s="130" t="n">
        <v>0</v>
      </c>
      <c r="AD82" s="200" t="n">
        <f aca="false">AB82-AC82</f>
        <v>0</v>
      </c>
      <c r="AE82" s="82" t="str">
        <f aca="false">IF(AB82=0,"not started",IF(AD82=0,"reconciled",IF(AD82&gt;0,"CHECK NAMES","in progress")))</f>
        <v>not started</v>
      </c>
    </row>
    <row r="83" customFormat="false" ht="15" hidden="false" customHeight="true" outlineLevel="0" collapsed="false">
      <c r="B83" s="92" t="s">
        <v>171</v>
      </c>
      <c r="C83" s="130" t="n">
        <f aca="false">IFERROR(SUMIF(CS2!$L$11:$L$42,$B83,CS2!$F$11:$F$42),0)</f>
        <v>0</v>
      </c>
      <c r="D83" s="130" t="n">
        <f aca="false">IFERROR(SUMPRODUCT(MAX((Chess!$L$11:$L$32=$B83)*Chess!$F$11:$F$32)),0)</f>
        <v>0</v>
      </c>
      <c r="E83" s="130" t="n">
        <f aca="false">IFERROR(SUMPRODUCT(MAX((LoL!$L$11:$L$26=$B83)*LoL!$F$11:$F$26)),0)</f>
        <v>0</v>
      </c>
      <c r="F83" s="130" t="n">
        <f aca="false">IFERROR(SUMPRODUCT(MAX(('PUBG Mobile'!$L$11:$L$42=$B83)*'PUBG Mobile'!$F$11:$F$42)),0)</f>
        <v>0</v>
      </c>
      <c r="G83" s="130" t="n">
        <f aca="false">IFERROR(SUMPRODUCT(MAX(('Fortnite Reload'!$L$11:$L$50=$B83)*'Fortnite Reload'!$F$11:$F$50)),0)</f>
        <v>0</v>
      </c>
      <c r="H83" s="130" t="n">
        <f aca="false">IFERROR(SUMPRODUCT(MAX((Trackmania!$M$11:$M$42=$B83)*Trackmania!$G$11:$G$42)),0)</f>
        <v>0</v>
      </c>
      <c r="I83" s="130" t="n">
        <f aca="false">IFERROR(SUMPRODUCT(MAX(('Dota 2'!$N$11:$N$34=$B83)*'Dota 2'!$H$11:$H$34)),0)</f>
        <v>0</v>
      </c>
      <c r="J83" s="130" t="n">
        <f aca="false">IFERROR(SUMPRODUCT(MAX(('Tekken 8'!$N$11:$N$42=$B83)*'Tekken 8'!$H$11:$H$42)),0)</f>
        <v>0</v>
      </c>
      <c r="K83" s="130" t="n">
        <f aca="false">IFERROR(SUMPRODUCT(MAX(('Street Fighter 6'!$O$11:$O$42=$B83)*'Street Fighter 6'!$I$11:$I$42)),0)</f>
        <v>0</v>
      </c>
      <c r="L83" s="130" t="n">
        <f aca="false">IFERROR(SUMPRODUCT(MAX(('Fatal Fury CotW'!$L$11:$L$42=$B83)*'Fatal Fury CotW'!$F$11:$F$42)),0)</f>
        <v>0</v>
      </c>
      <c r="M83" s="130" t="n">
        <f aca="false">IFERROR(SUMPRODUCT(MAX((TFT!$N$11:$N$26=$B83)*TFT!$H$11:$H$26)),0)</f>
        <v>0</v>
      </c>
      <c r="N83" s="130" t="n">
        <f aca="false">IFERROR(SUMPRODUCT(MAX(('Rainbow Six'!$P$11:$P$32=$B83)*'Rainbow Six'!$J$11:$J$32)),0)</f>
        <v>0</v>
      </c>
      <c r="O83" s="130" t="n">
        <f aca="false">IFERROR(SUMPRODUCT(MAX((Warzone!$M$11:$M$42=$B83)*Warzone!$G$11:$G$42)),0)</f>
        <v>0</v>
      </c>
      <c r="P83" s="130" t="n">
        <f aca="false">IFERROR(SUMPRODUCT(MAX((Valorant!$N$11:$N$26=$B83)*Valorant!$H$11:$H$26)),0)</f>
        <v>0</v>
      </c>
      <c r="Q83" s="130" t="n">
        <f aca="false">IFERROR(SUMPRODUCT(MAX(('MLBB (MSC)'!$M$11:$M$35=$B83)*'MLBB (MSC)'!$G$11:$G$35)),0)</f>
        <v>0</v>
      </c>
      <c r="R83" s="130" t="n">
        <f aca="false">IFERROR(SUMPRODUCT(MAX(('Apex Legends'!$O$11:$O$50=$B83)*'Apex Legends'!$I$11:$I$50)),0)</f>
        <v>0</v>
      </c>
      <c r="S83" s="130" t="n">
        <f aca="false">IFERROR(SUMPRODUCT(MAX(('Honor of Kings'!$N$11:$N$30=$B83)*'Honor of Kings'!$H$11:$H$30)),0)</f>
        <v>0</v>
      </c>
      <c r="T83" s="130" t="n">
        <f aca="false">IFERROR(SUMPRODUCT(MAX((CrossFire!$L$11:$L$26=$B83)*CrossFire!$F$11:$F$26)),0)</f>
        <v>0</v>
      </c>
      <c r="U83" s="130" t="n">
        <f aca="false">IFERROR(SUMPRODUCT(MAX(('Free Fire'!$M$11:$M$34=$B83)*'Free Fire'!$G$11:$G$34)),0)</f>
        <v>0</v>
      </c>
      <c r="V83" s="130" t="n">
        <f aca="false">IFERROR(SUMPRODUCT(MAX(('EA FC 26'!$N$11:$N$46=$B83)*'EA FC 26'!$H$11:$H$46)),0)</f>
        <v>0</v>
      </c>
      <c r="W83" s="130" t="n">
        <f aca="false">IFERROR(SUMPRODUCT(MAX(('Black Ops 7'!$O$11:$O$26=$B83)*'Black Ops 7'!$J$11:$J$26)),0)</f>
        <v>0</v>
      </c>
      <c r="X83" s="130" t="n">
        <f aca="false">IFERROR(SUMPRODUCT(MAX(('Rocket League'!$P$11:$P$26=$B83)*'Rocket League'!$J$11:$J$26)),0)</f>
        <v>0</v>
      </c>
      <c r="Y83" s="130" t="n">
        <f aca="false">IFERROR(SUMPRODUCT(MAX(('Overwatch 2'!$L$11:$L$26=$B83)*'Overwatch 2'!$F$11:$F$26)),0)</f>
        <v>0</v>
      </c>
      <c r="Z83" s="130" t="n">
        <f aca="false">IFERROR(SUMPRODUCT(MAX((PUBG!$L$11:$L$34=$B83)*PUBG!$F$11:$F$34)),0)</f>
        <v>0</v>
      </c>
      <c r="AA83" s="130" t="n">
        <f aca="false">IFERROR(SUMPRODUCT(MAX(('MLBB Women'!$L$11:$L$26=$B83)*'MLBB Women'!$F$11:$F$26)),0)</f>
        <v>0</v>
      </c>
      <c r="AB83" s="130" t="n">
        <f aca="false">SUM(C83:AA83)</f>
        <v>0</v>
      </c>
      <c r="AC83" s="130" t="n">
        <v>0</v>
      </c>
      <c r="AD83" s="200" t="n">
        <f aca="false">AB83-AC83</f>
        <v>0</v>
      </c>
      <c r="AE83" s="82" t="str">
        <f aca="false">IF(AB83=0,"not started",IF(AD83=0,"reconciled",IF(AD83&gt;0,"CHECK NAMES","in progress")))</f>
        <v>not started</v>
      </c>
    </row>
    <row r="84" customFormat="false" ht="15" hidden="false" customHeight="true" outlineLevel="0" collapsed="false">
      <c r="B84" s="92" t="s">
        <v>247</v>
      </c>
      <c r="C84" s="130" t="n">
        <f aca="false">IFERROR(SUMIF(CS2!$L$11:$L$42,$B84,CS2!$F$11:$F$42),0)</f>
        <v>0</v>
      </c>
      <c r="D84" s="130" t="n">
        <f aca="false">IFERROR(SUMPRODUCT(MAX((Chess!$L$11:$L$32=$B84)*Chess!$F$11:$F$32)),0)</f>
        <v>0</v>
      </c>
      <c r="E84" s="130" t="n">
        <f aca="false">IFERROR(SUMPRODUCT(MAX((LoL!$L$11:$L$26=$B84)*LoL!$F$11:$F$26)),0)</f>
        <v>0</v>
      </c>
      <c r="F84" s="130" t="n">
        <f aca="false">IFERROR(SUMPRODUCT(MAX(('PUBG Mobile'!$L$11:$L$42=$B84)*'PUBG Mobile'!$F$11:$F$42)),0)</f>
        <v>0</v>
      </c>
      <c r="G84" s="130" t="n">
        <f aca="false">IFERROR(SUMPRODUCT(MAX(('Fortnite Reload'!$L$11:$L$50=$B84)*'Fortnite Reload'!$F$11:$F$50)),0)</f>
        <v>0</v>
      </c>
      <c r="H84" s="130" t="n">
        <f aca="false">IFERROR(SUMPRODUCT(MAX((Trackmania!$M$11:$M$42=$B84)*Trackmania!$G$11:$G$42)),0)</f>
        <v>0</v>
      </c>
      <c r="I84" s="130" t="n">
        <f aca="false">IFERROR(SUMPRODUCT(MAX(('Dota 2'!$N$11:$N$34=$B84)*'Dota 2'!$H$11:$H$34)),0)</f>
        <v>0</v>
      </c>
      <c r="J84" s="130" t="n">
        <f aca="false">IFERROR(SUMPRODUCT(MAX(('Tekken 8'!$N$11:$N$42=$B84)*'Tekken 8'!$H$11:$H$42)),0)</f>
        <v>0</v>
      </c>
      <c r="K84" s="130" t="n">
        <f aca="false">IFERROR(SUMPRODUCT(MAX(('Street Fighter 6'!$O$11:$O$42=$B84)*'Street Fighter 6'!$I$11:$I$42)),0)</f>
        <v>0</v>
      </c>
      <c r="L84" s="130" t="n">
        <f aca="false">IFERROR(SUMPRODUCT(MAX(('Fatal Fury CotW'!$L$11:$L$42=$B84)*'Fatal Fury CotW'!$F$11:$F$42)),0)</f>
        <v>0</v>
      </c>
      <c r="M84" s="130" t="n">
        <f aca="false">IFERROR(SUMPRODUCT(MAX((TFT!$N$11:$N$26=$B84)*TFT!$H$11:$H$26)),0)</f>
        <v>0</v>
      </c>
      <c r="N84" s="130" t="n">
        <f aca="false">IFERROR(SUMPRODUCT(MAX(('Rainbow Six'!$P$11:$P$32=$B84)*'Rainbow Six'!$J$11:$J$32)),0)</f>
        <v>0</v>
      </c>
      <c r="O84" s="130" t="n">
        <f aca="false">IFERROR(SUMPRODUCT(MAX((Warzone!$M$11:$M$42=$B84)*Warzone!$G$11:$G$42)),0)</f>
        <v>0</v>
      </c>
      <c r="P84" s="130" t="n">
        <f aca="false">IFERROR(SUMPRODUCT(MAX((Valorant!$N$11:$N$26=$B84)*Valorant!$H$11:$H$26)),0)</f>
        <v>0</v>
      </c>
      <c r="Q84" s="130" t="n">
        <f aca="false">IFERROR(SUMPRODUCT(MAX(('MLBB (MSC)'!$M$11:$M$35=$B84)*'MLBB (MSC)'!$G$11:$G$35)),0)</f>
        <v>0</v>
      </c>
      <c r="R84" s="130" t="n">
        <f aca="false">IFERROR(SUMPRODUCT(MAX(('Apex Legends'!$O$11:$O$50=$B84)*'Apex Legends'!$I$11:$I$50)),0)</f>
        <v>0</v>
      </c>
      <c r="S84" s="130" t="n">
        <f aca="false">IFERROR(SUMPRODUCT(MAX(('Honor of Kings'!$N$11:$N$30=$B84)*'Honor of Kings'!$H$11:$H$30)),0)</f>
        <v>0</v>
      </c>
      <c r="T84" s="130" t="n">
        <f aca="false">IFERROR(SUMPRODUCT(MAX((CrossFire!$L$11:$L$26=$B84)*CrossFire!$F$11:$F$26)),0)</f>
        <v>0</v>
      </c>
      <c r="U84" s="130" t="n">
        <f aca="false">IFERROR(SUMPRODUCT(MAX(('Free Fire'!$M$11:$M$34=$B84)*'Free Fire'!$G$11:$G$34)),0)</f>
        <v>0</v>
      </c>
      <c r="V84" s="130" t="n">
        <f aca="false">IFERROR(SUMPRODUCT(MAX(('EA FC 26'!$N$11:$N$46=$B84)*'EA FC 26'!$H$11:$H$46)),0)</f>
        <v>0</v>
      </c>
      <c r="W84" s="130" t="n">
        <f aca="false">IFERROR(SUMPRODUCT(MAX(('Black Ops 7'!$O$11:$O$26=$B84)*'Black Ops 7'!$J$11:$J$26)),0)</f>
        <v>0</v>
      </c>
      <c r="X84" s="130" t="n">
        <f aca="false">IFERROR(SUMPRODUCT(MAX(('Rocket League'!$P$11:$P$26=$B84)*'Rocket League'!$J$11:$J$26)),0)</f>
        <v>0</v>
      </c>
      <c r="Y84" s="130" t="n">
        <f aca="false">IFERROR(SUMPRODUCT(MAX(('Overwatch 2'!$L$11:$L$26=$B84)*'Overwatch 2'!$F$11:$F$26)),0)</f>
        <v>0</v>
      </c>
      <c r="Z84" s="130" t="n">
        <f aca="false">IFERROR(SUMPRODUCT(MAX((PUBG!$L$11:$L$34=$B84)*PUBG!$F$11:$F$34)),0)</f>
        <v>0</v>
      </c>
      <c r="AA84" s="130" t="n">
        <f aca="false">IFERROR(SUMPRODUCT(MAX(('MLBB Women'!$L$11:$L$26=$B84)*'MLBB Women'!$F$11:$F$26)),0)</f>
        <v>0</v>
      </c>
      <c r="AB84" s="130" t="n">
        <f aca="false">SUM(C84:AA84)</f>
        <v>0</v>
      </c>
      <c r="AC84" s="130" t="n">
        <v>0</v>
      </c>
      <c r="AD84" s="200" t="n">
        <f aca="false">AB84-AC84</f>
        <v>0</v>
      </c>
      <c r="AE84" s="82" t="str">
        <f aca="false">IF(AB84=0,"not started",IF(AD84=0,"reconciled",IF(AD84&gt;0,"CHECK NAMES","in progress")))</f>
        <v>not started</v>
      </c>
    </row>
    <row r="85" customFormat="false" ht="15" hidden="false" customHeight="true" outlineLevel="0" collapsed="false">
      <c r="B85" s="92" t="s">
        <v>187</v>
      </c>
      <c r="C85" s="130" t="n">
        <f aca="false">IFERROR(SUMIF(CS2!$L$11:$L$42,$B85,CS2!$F$11:$F$42),0)</f>
        <v>0</v>
      </c>
      <c r="D85" s="130" t="n">
        <f aca="false">IFERROR(SUMPRODUCT(MAX((Chess!$L$11:$L$32=$B85)*Chess!$F$11:$F$32)),0)</f>
        <v>0</v>
      </c>
      <c r="E85" s="130" t="n">
        <f aca="false">IFERROR(SUMPRODUCT(MAX((LoL!$L$11:$L$26=$B85)*LoL!$F$11:$F$26)),0)</f>
        <v>0</v>
      </c>
      <c r="F85" s="130" t="n">
        <f aca="false">IFERROR(SUMPRODUCT(MAX(('PUBG Mobile'!$L$11:$L$42=$B85)*'PUBG Mobile'!$F$11:$F$42)),0)</f>
        <v>0</v>
      </c>
      <c r="G85" s="130" t="n">
        <f aca="false">IFERROR(SUMPRODUCT(MAX(('Fortnite Reload'!$L$11:$L$50=$B85)*'Fortnite Reload'!$F$11:$F$50)),0)</f>
        <v>0</v>
      </c>
      <c r="H85" s="130" t="n">
        <f aca="false">IFERROR(SUMPRODUCT(MAX((Trackmania!$M$11:$M$42=$B85)*Trackmania!$G$11:$G$42)),0)</f>
        <v>0</v>
      </c>
      <c r="I85" s="130" t="n">
        <f aca="false">IFERROR(SUMPRODUCT(MAX(('Dota 2'!$N$11:$N$34=$B85)*'Dota 2'!$H$11:$H$34)),0)</f>
        <v>0</v>
      </c>
      <c r="J85" s="130" t="n">
        <f aca="false">IFERROR(SUMPRODUCT(MAX(('Tekken 8'!$N$11:$N$42=$B85)*'Tekken 8'!$H$11:$H$42)),0)</f>
        <v>0</v>
      </c>
      <c r="K85" s="130" t="n">
        <f aca="false">IFERROR(SUMPRODUCT(MAX(('Street Fighter 6'!$O$11:$O$42=$B85)*'Street Fighter 6'!$I$11:$I$42)),0)</f>
        <v>0</v>
      </c>
      <c r="L85" s="130" t="n">
        <f aca="false">IFERROR(SUMPRODUCT(MAX(('Fatal Fury CotW'!$L$11:$L$42=$B85)*'Fatal Fury CotW'!$F$11:$F$42)),0)</f>
        <v>0</v>
      </c>
      <c r="M85" s="130" t="n">
        <f aca="false">IFERROR(SUMPRODUCT(MAX((TFT!$N$11:$N$26=$B85)*TFT!$H$11:$H$26)),0)</f>
        <v>0</v>
      </c>
      <c r="N85" s="130" t="n">
        <f aca="false">IFERROR(SUMPRODUCT(MAX(('Rainbow Six'!$P$11:$P$32=$B85)*'Rainbow Six'!$J$11:$J$32)),0)</f>
        <v>0</v>
      </c>
      <c r="O85" s="130" t="n">
        <f aca="false">IFERROR(SUMPRODUCT(MAX((Warzone!$M$11:$M$42=$B85)*Warzone!$G$11:$G$42)),0)</f>
        <v>0</v>
      </c>
      <c r="P85" s="130" t="n">
        <f aca="false">IFERROR(SUMPRODUCT(MAX((Valorant!$N$11:$N$26=$B85)*Valorant!$H$11:$H$26)),0)</f>
        <v>0</v>
      </c>
      <c r="Q85" s="130" t="n">
        <f aca="false">IFERROR(SUMPRODUCT(MAX(('MLBB (MSC)'!$M$11:$M$35=$B85)*'MLBB (MSC)'!$G$11:$G$35)),0)</f>
        <v>0</v>
      </c>
      <c r="R85" s="130" t="n">
        <f aca="false">IFERROR(SUMPRODUCT(MAX(('Apex Legends'!$O$11:$O$50=$B85)*'Apex Legends'!$I$11:$I$50)),0)</f>
        <v>0</v>
      </c>
      <c r="S85" s="130" t="n">
        <f aca="false">IFERROR(SUMPRODUCT(MAX(('Honor of Kings'!$N$11:$N$30=$B85)*'Honor of Kings'!$H$11:$H$30)),0)</f>
        <v>0</v>
      </c>
      <c r="T85" s="130" t="n">
        <f aca="false">IFERROR(SUMPRODUCT(MAX((CrossFire!$L$11:$L$26=$B85)*CrossFire!$F$11:$F$26)),0)</f>
        <v>0</v>
      </c>
      <c r="U85" s="130" t="n">
        <f aca="false">IFERROR(SUMPRODUCT(MAX(('Free Fire'!$M$11:$M$34=$B85)*'Free Fire'!$G$11:$G$34)),0)</f>
        <v>0</v>
      </c>
      <c r="V85" s="130" t="n">
        <f aca="false">IFERROR(SUMPRODUCT(MAX(('EA FC 26'!$N$11:$N$46=$B85)*'EA FC 26'!$H$11:$H$46)),0)</f>
        <v>0</v>
      </c>
      <c r="W85" s="130" t="n">
        <f aca="false">IFERROR(SUMPRODUCT(MAX(('Black Ops 7'!$O$11:$O$26=$B85)*'Black Ops 7'!$J$11:$J$26)),0)</f>
        <v>0</v>
      </c>
      <c r="X85" s="130" t="n">
        <f aca="false">IFERROR(SUMPRODUCT(MAX(('Rocket League'!$P$11:$P$26=$B85)*'Rocket League'!$J$11:$J$26)),0)</f>
        <v>0</v>
      </c>
      <c r="Y85" s="130" t="n">
        <f aca="false">IFERROR(SUMPRODUCT(MAX(('Overwatch 2'!$L$11:$L$26=$B85)*'Overwatch 2'!$F$11:$F$26)),0)</f>
        <v>0</v>
      </c>
      <c r="Z85" s="130" t="n">
        <f aca="false">IFERROR(SUMPRODUCT(MAX((PUBG!$L$11:$L$34=$B85)*PUBG!$F$11:$F$34)),0)</f>
        <v>0</v>
      </c>
      <c r="AA85" s="130" t="n">
        <f aca="false">IFERROR(SUMPRODUCT(MAX(('MLBB Women'!$L$11:$L$26=$B85)*'MLBB Women'!$F$11:$F$26)),0)</f>
        <v>0</v>
      </c>
      <c r="AB85" s="130" t="n">
        <f aca="false">SUM(C85:AA85)</f>
        <v>0</v>
      </c>
      <c r="AC85" s="130" t="n">
        <v>0</v>
      </c>
      <c r="AD85" s="200" t="n">
        <f aca="false">AB85-AC85</f>
        <v>0</v>
      </c>
      <c r="AE85" s="82" t="str">
        <f aca="false">IF(AB85=0,"not started",IF(AD85=0,"reconciled",IF(AD85&gt;0,"CHECK NAMES","in progress")))</f>
        <v>not started</v>
      </c>
    </row>
    <row r="86" customFormat="false" ht="15" hidden="false" customHeight="true" outlineLevel="0" collapsed="false">
      <c r="B86" s="92" t="s">
        <v>147</v>
      </c>
      <c r="C86" s="130" t="n">
        <f aca="false">IFERROR(SUMIF(CS2!$L$11:$L$42,$B86,CS2!$F$11:$F$42),0)</f>
        <v>0</v>
      </c>
      <c r="D86" s="130" t="n">
        <f aca="false">IFERROR(SUMPRODUCT(MAX((Chess!$L$11:$L$32=$B86)*Chess!$F$11:$F$32)),0)</f>
        <v>0</v>
      </c>
      <c r="E86" s="130" t="n">
        <f aca="false">IFERROR(SUMPRODUCT(MAX((LoL!$L$11:$L$26=$B86)*LoL!$F$11:$F$26)),0)</f>
        <v>0</v>
      </c>
      <c r="F86" s="130" t="n">
        <f aca="false">IFERROR(SUMPRODUCT(MAX(('PUBG Mobile'!$L$11:$L$42=$B86)*'PUBG Mobile'!$F$11:$F$42)),0)</f>
        <v>0</v>
      </c>
      <c r="G86" s="130" t="n">
        <f aca="false">IFERROR(SUMPRODUCT(MAX(('Fortnite Reload'!$L$11:$L$50=$B86)*'Fortnite Reload'!$F$11:$F$50)),0)</f>
        <v>0</v>
      </c>
      <c r="H86" s="130" t="n">
        <f aca="false">IFERROR(SUMPRODUCT(MAX((Trackmania!$M$11:$M$42=$B86)*Trackmania!$G$11:$G$42)),0)</f>
        <v>0</v>
      </c>
      <c r="I86" s="130" t="n">
        <f aca="false">IFERROR(SUMPRODUCT(MAX(('Dota 2'!$N$11:$N$34=$B86)*'Dota 2'!$H$11:$H$34)),0)</f>
        <v>0</v>
      </c>
      <c r="J86" s="130" t="n">
        <f aca="false">IFERROR(SUMPRODUCT(MAX(('Tekken 8'!$N$11:$N$42=$B86)*'Tekken 8'!$H$11:$H$42)),0)</f>
        <v>0</v>
      </c>
      <c r="K86" s="130" t="n">
        <f aca="false">IFERROR(SUMPRODUCT(MAX(('Street Fighter 6'!$O$11:$O$42=$B86)*'Street Fighter 6'!$I$11:$I$42)),0)</f>
        <v>0</v>
      </c>
      <c r="L86" s="130" t="n">
        <f aca="false">IFERROR(SUMPRODUCT(MAX(('Fatal Fury CotW'!$L$11:$L$42=$B86)*'Fatal Fury CotW'!$F$11:$F$42)),0)</f>
        <v>0</v>
      </c>
      <c r="M86" s="130" t="n">
        <f aca="false">IFERROR(SUMPRODUCT(MAX((TFT!$N$11:$N$26=$B86)*TFT!$H$11:$H$26)),0)</f>
        <v>0</v>
      </c>
      <c r="N86" s="130" t="n">
        <f aca="false">IFERROR(SUMPRODUCT(MAX(('Rainbow Six'!$P$11:$P$32=$B86)*'Rainbow Six'!$J$11:$J$32)),0)</f>
        <v>0</v>
      </c>
      <c r="O86" s="130" t="n">
        <f aca="false">IFERROR(SUMPRODUCT(MAX((Warzone!$M$11:$M$42=$B86)*Warzone!$G$11:$G$42)),0)</f>
        <v>0</v>
      </c>
      <c r="P86" s="130" t="n">
        <f aca="false">IFERROR(SUMPRODUCT(MAX((Valorant!$N$11:$N$26=$B86)*Valorant!$H$11:$H$26)),0)</f>
        <v>0</v>
      </c>
      <c r="Q86" s="130" t="n">
        <f aca="false">IFERROR(SUMPRODUCT(MAX(('MLBB (MSC)'!$M$11:$M$35=$B86)*'MLBB (MSC)'!$G$11:$G$35)),0)</f>
        <v>0</v>
      </c>
      <c r="R86" s="130" t="n">
        <f aca="false">IFERROR(SUMPRODUCT(MAX(('Apex Legends'!$O$11:$O$50=$B86)*'Apex Legends'!$I$11:$I$50)),0)</f>
        <v>0</v>
      </c>
      <c r="S86" s="130" t="n">
        <f aca="false">IFERROR(SUMPRODUCT(MAX(('Honor of Kings'!$N$11:$N$30=$B86)*'Honor of Kings'!$H$11:$H$30)),0)</f>
        <v>0</v>
      </c>
      <c r="T86" s="130" t="n">
        <f aca="false">IFERROR(SUMPRODUCT(MAX((CrossFire!$L$11:$L$26=$B86)*CrossFire!$F$11:$F$26)),0)</f>
        <v>0</v>
      </c>
      <c r="U86" s="130" t="n">
        <f aca="false">IFERROR(SUMPRODUCT(MAX(('Free Fire'!$M$11:$M$34=$B86)*'Free Fire'!$G$11:$G$34)),0)</f>
        <v>0</v>
      </c>
      <c r="V86" s="130" t="n">
        <f aca="false">IFERROR(SUMPRODUCT(MAX(('EA FC 26'!$N$11:$N$46=$B86)*'EA FC 26'!$H$11:$H$46)),0)</f>
        <v>0</v>
      </c>
      <c r="W86" s="130" t="n">
        <f aca="false">IFERROR(SUMPRODUCT(MAX(('Black Ops 7'!$O$11:$O$26=$B86)*'Black Ops 7'!$J$11:$J$26)),0)</f>
        <v>0</v>
      </c>
      <c r="X86" s="130" t="n">
        <f aca="false">IFERROR(SUMPRODUCT(MAX(('Rocket League'!$P$11:$P$26=$B86)*'Rocket League'!$J$11:$J$26)),0)</f>
        <v>0</v>
      </c>
      <c r="Y86" s="130" t="n">
        <f aca="false">IFERROR(SUMPRODUCT(MAX(('Overwatch 2'!$L$11:$L$26=$B86)*'Overwatch 2'!$F$11:$F$26)),0)</f>
        <v>0</v>
      </c>
      <c r="Z86" s="130" t="n">
        <f aca="false">IFERROR(SUMPRODUCT(MAX((PUBG!$L$11:$L$34=$B86)*PUBG!$F$11:$F$34)),0)</f>
        <v>0</v>
      </c>
      <c r="AA86" s="130" t="n">
        <f aca="false">IFERROR(SUMPRODUCT(MAX(('MLBB Women'!$L$11:$L$26=$B86)*'MLBB Women'!$F$11:$F$26)),0)</f>
        <v>0</v>
      </c>
      <c r="AB86" s="130" t="n">
        <f aca="false">SUM(C86:AA86)</f>
        <v>0</v>
      </c>
      <c r="AC86" s="130" t="n">
        <v>0</v>
      </c>
      <c r="AD86" s="200" t="n">
        <f aca="false">AB86-AC86</f>
        <v>0</v>
      </c>
      <c r="AE86" s="82" t="str">
        <f aca="false">IF(AB86=0,"not started",IF(AD86=0,"reconciled",IF(AD86&gt;0,"CHECK NAMES","in progress")))</f>
        <v>not started</v>
      </c>
    </row>
    <row r="87" customFormat="false" ht="15" hidden="false" customHeight="true" outlineLevel="0" collapsed="false">
      <c r="B87" s="92" t="s">
        <v>265</v>
      </c>
      <c r="C87" s="130" t="n">
        <f aca="false">IFERROR(SUMIF(CS2!$L$11:$L$42,$B87,CS2!$F$11:$F$42),0)</f>
        <v>0</v>
      </c>
      <c r="D87" s="130" t="n">
        <f aca="false">IFERROR(SUMPRODUCT(MAX((Chess!$L$11:$L$32=$B87)*Chess!$F$11:$F$32)),0)</f>
        <v>0</v>
      </c>
      <c r="E87" s="130" t="n">
        <f aca="false">IFERROR(SUMPRODUCT(MAX((LoL!$L$11:$L$26=$B87)*LoL!$F$11:$F$26)),0)</f>
        <v>0</v>
      </c>
      <c r="F87" s="130" t="n">
        <f aca="false">IFERROR(SUMPRODUCT(MAX(('PUBG Mobile'!$L$11:$L$42=$B87)*'PUBG Mobile'!$F$11:$F$42)),0)</f>
        <v>0</v>
      </c>
      <c r="G87" s="130" t="n">
        <f aca="false">IFERROR(SUMPRODUCT(MAX(('Fortnite Reload'!$L$11:$L$50=$B87)*'Fortnite Reload'!$F$11:$F$50)),0)</f>
        <v>0</v>
      </c>
      <c r="H87" s="130" t="n">
        <f aca="false">IFERROR(SUMPRODUCT(MAX((Trackmania!$M$11:$M$42=$B87)*Trackmania!$G$11:$G$42)),0)</f>
        <v>0</v>
      </c>
      <c r="I87" s="130" t="n">
        <f aca="false">IFERROR(SUMPRODUCT(MAX(('Dota 2'!$N$11:$N$34=$B87)*'Dota 2'!$H$11:$H$34)),0)</f>
        <v>0</v>
      </c>
      <c r="J87" s="130" t="n">
        <f aca="false">IFERROR(SUMPRODUCT(MAX(('Tekken 8'!$N$11:$N$42=$B87)*'Tekken 8'!$H$11:$H$42)),0)</f>
        <v>0</v>
      </c>
      <c r="K87" s="130" t="n">
        <f aca="false">IFERROR(SUMPRODUCT(MAX(('Street Fighter 6'!$O$11:$O$42=$B87)*'Street Fighter 6'!$I$11:$I$42)),0)</f>
        <v>0</v>
      </c>
      <c r="L87" s="130" t="n">
        <f aca="false">IFERROR(SUMPRODUCT(MAX(('Fatal Fury CotW'!$L$11:$L$42=$B87)*'Fatal Fury CotW'!$F$11:$F$42)),0)</f>
        <v>0</v>
      </c>
      <c r="M87" s="130" t="n">
        <f aca="false">IFERROR(SUMPRODUCT(MAX((TFT!$N$11:$N$26=$B87)*TFT!$H$11:$H$26)),0)</f>
        <v>0</v>
      </c>
      <c r="N87" s="130" t="n">
        <f aca="false">IFERROR(SUMPRODUCT(MAX(('Rainbow Six'!$P$11:$P$32=$B87)*'Rainbow Six'!$J$11:$J$32)),0)</f>
        <v>0</v>
      </c>
      <c r="O87" s="130" t="n">
        <f aca="false">IFERROR(SUMPRODUCT(MAX((Warzone!$M$11:$M$42=$B87)*Warzone!$G$11:$G$42)),0)</f>
        <v>0</v>
      </c>
      <c r="P87" s="130" t="n">
        <f aca="false">IFERROR(SUMPRODUCT(MAX((Valorant!$N$11:$N$26=$B87)*Valorant!$H$11:$H$26)),0)</f>
        <v>0</v>
      </c>
      <c r="Q87" s="130" t="n">
        <f aca="false">IFERROR(SUMPRODUCT(MAX(('MLBB (MSC)'!$M$11:$M$35=$B87)*'MLBB (MSC)'!$G$11:$G$35)),0)</f>
        <v>0</v>
      </c>
      <c r="R87" s="130" t="n">
        <f aca="false">IFERROR(SUMPRODUCT(MAX(('Apex Legends'!$O$11:$O$50=$B87)*'Apex Legends'!$I$11:$I$50)),0)</f>
        <v>0</v>
      </c>
      <c r="S87" s="130" t="n">
        <f aca="false">IFERROR(SUMPRODUCT(MAX(('Honor of Kings'!$N$11:$N$30=$B87)*'Honor of Kings'!$H$11:$H$30)),0)</f>
        <v>0</v>
      </c>
      <c r="T87" s="130" t="n">
        <f aca="false">IFERROR(SUMPRODUCT(MAX((CrossFire!$L$11:$L$26=$B87)*CrossFire!$F$11:$F$26)),0)</f>
        <v>0</v>
      </c>
      <c r="U87" s="130" t="n">
        <f aca="false">IFERROR(SUMPRODUCT(MAX(('Free Fire'!$M$11:$M$34=$B87)*'Free Fire'!$G$11:$G$34)),0)</f>
        <v>0</v>
      </c>
      <c r="V87" s="130" t="n">
        <f aca="false">IFERROR(SUMPRODUCT(MAX(('EA FC 26'!$N$11:$N$46=$B87)*'EA FC 26'!$H$11:$H$46)),0)</f>
        <v>0</v>
      </c>
      <c r="W87" s="130" t="n">
        <f aca="false">IFERROR(SUMPRODUCT(MAX(('Black Ops 7'!$O$11:$O$26=$B87)*'Black Ops 7'!$J$11:$J$26)),0)</f>
        <v>0</v>
      </c>
      <c r="X87" s="130" t="n">
        <f aca="false">IFERROR(SUMPRODUCT(MAX(('Rocket League'!$P$11:$P$26=$B87)*'Rocket League'!$J$11:$J$26)),0)</f>
        <v>0</v>
      </c>
      <c r="Y87" s="130" t="n">
        <f aca="false">IFERROR(SUMPRODUCT(MAX(('Overwatch 2'!$L$11:$L$26=$B87)*'Overwatch 2'!$F$11:$F$26)),0)</f>
        <v>0</v>
      </c>
      <c r="Z87" s="130" t="n">
        <f aca="false">IFERROR(SUMPRODUCT(MAX((PUBG!$L$11:$L$34=$B87)*PUBG!$F$11:$F$34)),0)</f>
        <v>0</v>
      </c>
      <c r="AA87" s="130" t="n">
        <f aca="false">IFERROR(SUMPRODUCT(MAX(('MLBB Women'!$L$11:$L$26=$B87)*'MLBB Women'!$F$11:$F$26)),0)</f>
        <v>0</v>
      </c>
      <c r="AB87" s="130" t="n">
        <f aca="false">SUM(C87:AA87)</f>
        <v>0</v>
      </c>
      <c r="AC87" s="130" t="n">
        <v>0</v>
      </c>
      <c r="AD87" s="200" t="n">
        <f aca="false">AB87-AC87</f>
        <v>0</v>
      </c>
      <c r="AE87" s="82" t="str">
        <f aca="false">IF(AB87=0,"not started",IF(AD87=0,"reconciled",IF(AD87&gt;0,"CHECK NAMES","in progress")))</f>
        <v>not started</v>
      </c>
    </row>
    <row r="88" customFormat="false" ht="15" hidden="false" customHeight="true" outlineLevel="0" collapsed="false">
      <c r="B88" s="92" t="s">
        <v>338</v>
      </c>
      <c r="C88" s="130" t="n">
        <f aca="false">IFERROR(SUMIF(CS2!$L$11:$L$42,$B88,CS2!$F$11:$F$42),0)</f>
        <v>0</v>
      </c>
      <c r="D88" s="130" t="n">
        <f aca="false">IFERROR(SUMPRODUCT(MAX((Chess!$L$11:$L$32=$B88)*Chess!$F$11:$F$32)),0)</f>
        <v>0</v>
      </c>
      <c r="E88" s="130" t="n">
        <f aca="false">IFERROR(SUMPRODUCT(MAX((LoL!$L$11:$L$26=$B88)*LoL!$F$11:$F$26)),0)</f>
        <v>0</v>
      </c>
      <c r="F88" s="130" t="n">
        <f aca="false">IFERROR(SUMPRODUCT(MAX(('PUBG Mobile'!$L$11:$L$42=$B88)*'PUBG Mobile'!$F$11:$F$42)),0)</f>
        <v>0</v>
      </c>
      <c r="G88" s="130" t="n">
        <f aca="false">IFERROR(SUMPRODUCT(MAX(('Fortnite Reload'!$L$11:$L$50=$B88)*'Fortnite Reload'!$F$11:$F$50)),0)</f>
        <v>0</v>
      </c>
      <c r="H88" s="130" t="n">
        <f aca="false">IFERROR(SUMPRODUCT(MAX((Trackmania!$M$11:$M$42=$B88)*Trackmania!$G$11:$G$42)),0)</f>
        <v>0</v>
      </c>
      <c r="I88" s="130" t="n">
        <f aca="false">IFERROR(SUMPRODUCT(MAX(('Dota 2'!$N$11:$N$34=$B88)*'Dota 2'!$H$11:$H$34)),0)</f>
        <v>0</v>
      </c>
      <c r="J88" s="130" t="n">
        <f aca="false">IFERROR(SUMPRODUCT(MAX(('Tekken 8'!$N$11:$N$42=$B88)*'Tekken 8'!$H$11:$H$42)),0)</f>
        <v>0</v>
      </c>
      <c r="K88" s="130" t="n">
        <f aca="false">IFERROR(SUMPRODUCT(MAX(('Street Fighter 6'!$O$11:$O$42=$B88)*'Street Fighter 6'!$I$11:$I$42)),0)</f>
        <v>0</v>
      </c>
      <c r="L88" s="130" t="n">
        <f aca="false">IFERROR(SUMPRODUCT(MAX(('Fatal Fury CotW'!$L$11:$L$42=$B88)*'Fatal Fury CotW'!$F$11:$F$42)),0)</f>
        <v>0</v>
      </c>
      <c r="M88" s="130" t="n">
        <f aca="false">IFERROR(SUMPRODUCT(MAX((TFT!$N$11:$N$26=$B88)*TFT!$H$11:$H$26)),0)</f>
        <v>0</v>
      </c>
      <c r="N88" s="130" t="n">
        <f aca="false">IFERROR(SUMPRODUCT(MAX(('Rainbow Six'!$P$11:$P$32=$B88)*'Rainbow Six'!$J$11:$J$32)),0)</f>
        <v>0</v>
      </c>
      <c r="O88" s="130" t="n">
        <f aca="false">IFERROR(SUMPRODUCT(MAX((Warzone!$M$11:$M$42=$B88)*Warzone!$G$11:$G$42)),0)</f>
        <v>0</v>
      </c>
      <c r="P88" s="130" t="n">
        <f aca="false">IFERROR(SUMPRODUCT(MAX((Valorant!$N$11:$N$26=$B88)*Valorant!$H$11:$H$26)),0)</f>
        <v>0</v>
      </c>
      <c r="Q88" s="130" t="n">
        <f aca="false">IFERROR(SUMPRODUCT(MAX(('MLBB (MSC)'!$M$11:$M$35=$B88)*'MLBB (MSC)'!$G$11:$G$35)),0)</f>
        <v>0</v>
      </c>
      <c r="R88" s="130" t="n">
        <f aca="false">IFERROR(SUMPRODUCT(MAX(('Apex Legends'!$O$11:$O$50=$B88)*'Apex Legends'!$I$11:$I$50)),0)</f>
        <v>0</v>
      </c>
      <c r="S88" s="130" t="n">
        <f aca="false">IFERROR(SUMPRODUCT(MAX(('Honor of Kings'!$N$11:$N$30=$B88)*'Honor of Kings'!$H$11:$H$30)),0)</f>
        <v>0</v>
      </c>
      <c r="T88" s="130" t="n">
        <f aca="false">IFERROR(SUMPRODUCT(MAX((CrossFire!$L$11:$L$26=$B88)*CrossFire!$F$11:$F$26)),0)</f>
        <v>0</v>
      </c>
      <c r="U88" s="130" t="n">
        <f aca="false">IFERROR(SUMPRODUCT(MAX(('Free Fire'!$M$11:$M$34=$B88)*'Free Fire'!$G$11:$G$34)),0)</f>
        <v>0</v>
      </c>
      <c r="V88" s="130" t="n">
        <f aca="false">IFERROR(SUMPRODUCT(MAX(('EA FC 26'!$N$11:$N$46=$B88)*'EA FC 26'!$H$11:$H$46)),0)</f>
        <v>0</v>
      </c>
      <c r="W88" s="130" t="n">
        <f aca="false">IFERROR(SUMPRODUCT(MAX(('Black Ops 7'!$O$11:$O$26=$B88)*'Black Ops 7'!$J$11:$J$26)),0)</f>
        <v>0</v>
      </c>
      <c r="X88" s="130" t="n">
        <f aca="false">IFERROR(SUMPRODUCT(MAX(('Rocket League'!$P$11:$P$26=$B88)*'Rocket League'!$J$11:$J$26)),0)</f>
        <v>0</v>
      </c>
      <c r="Y88" s="130" t="n">
        <f aca="false">IFERROR(SUMPRODUCT(MAX(('Overwatch 2'!$L$11:$L$26=$B88)*'Overwatch 2'!$F$11:$F$26)),0)</f>
        <v>0</v>
      </c>
      <c r="Z88" s="130" t="n">
        <f aca="false">IFERROR(SUMPRODUCT(MAX((PUBG!$L$11:$L$34=$B88)*PUBG!$F$11:$F$34)),0)</f>
        <v>0</v>
      </c>
      <c r="AA88" s="130" t="n">
        <f aca="false">IFERROR(SUMPRODUCT(MAX(('MLBB Women'!$L$11:$L$26=$B88)*'MLBB Women'!$F$11:$F$26)),0)</f>
        <v>0</v>
      </c>
      <c r="AB88" s="130" t="n">
        <f aca="false">SUM(C88:AA88)</f>
        <v>0</v>
      </c>
      <c r="AC88" s="130"/>
      <c r="AD88" s="200" t="n">
        <f aca="false">AB88-AC88</f>
        <v>0</v>
      </c>
      <c r="AE88" s="82" t="str">
        <f aca="false">IF(AB88=0,"not started",IF(AD88=0,"reconciled",IF(AD88&gt;0,"CHECK NAMES","in progress")))</f>
        <v>not started</v>
      </c>
    </row>
    <row r="89" customFormat="false" ht="15" hidden="false" customHeight="true" outlineLevel="0" collapsed="false">
      <c r="B89" s="92" t="s">
        <v>340</v>
      </c>
      <c r="C89" s="130" t="n">
        <f aca="false">IFERROR(SUMIF(CS2!$L$11:$L$42,$B89,CS2!$F$11:$F$42),0)</f>
        <v>0</v>
      </c>
      <c r="D89" s="130" t="n">
        <f aca="false">IFERROR(SUMPRODUCT(MAX((Chess!$L$11:$L$32=$B89)*Chess!$F$11:$F$32)),0)</f>
        <v>0</v>
      </c>
      <c r="E89" s="130" t="n">
        <f aca="false">IFERROR(SUMPRODUCT(MAX((LoL!$L$11:$L$26=$B89)*LoL!$F$11:$F$26)),0)</f>
        <v>0</v>
      </c>
      <c r="F89" s="130" t="n">
        <f aca="false">IFERROR(SUMPRODUCT(MAX(('PUBG Mobile'!$L$11:$L$42=$B89)*'PUBG Mobile'!$F$11:$F$42)),0)</f>
        <v>0</v>
      </c>
      <c r="G89" s="130" t="n">
        <f aca="false">IFERROR(SUMPRODUCT(MAX(('Fortnite Reload'!$L$11:$L$50=$B89)*'Fortnite Reload'!$F$11:$F$50)),0)</f>
        <v>0</v>
      </c>
      <c r="H89" s="130" t="n">
        <f aca="false">IFERROR(SUMPRODUCT(MAX((Trackmania!$M$11:$M$42=$B89)*Trackmania!$G$11:$G$42)),0)</f>
        <v>0</v>
      </c>
      <c r="I89" s="130" t="n">
        <f aca="false">IFERROR(SUMPRODUCT(MAX(('Dota 2'!$N$11:$N$34=$B89)*'Dota 2'!$H$11:$H$34)),0)</f>
        <v>0</v>
      </c>
      <c r="J89" s="130" t="n">
        <f aca="false">IFERROR(SUMPRODUCT(MAX(('Tekken 8'!$N$11:$N$42=$B89)*'Tekken 8'!$H$11:$H$42)),0)</f>
        <v>0</v>
      </c>
      <c r="K89" s="130" t="n">
        <f aca="false">IFERROR(SUMPRODUCT(MAX(('Street Fighter 6'!$O$11:$O$42=$B89)*'Street Fighter 6'!$I$11:$I$42)),0)</f>
        <v>0</v>
      </c>
      <c r="L89" s="130" t="n">
        <f aca="false">IFERROR(SUMPRODUCT(MAX(('Fatal Fury CotW'!$L$11:$L$42=$B89)*'Fatal Fury CotW'!$F$11:$F$42)),0)</f>
        <v>0</v>
      </c>
      <c r="M89" s="130" t="n">
        <f aca="false">IFERROR(SUMPRODUCT(MAX((TFT!$N$11:$N$26=$B89)*TFT!$H$11:$H$26)),0)</f>
        <v>0</v>
      </c>
      <c r="N89" s="130" t="n">
        <f aca="false">IFERROR(SUMPRODUCT(MAX(('Rainbow Six'!$P$11:$P$32=$B89)*'Rainbow Six'!$J$11:$J$32)),0)</f>
        <v>0</v>
      </c>
      <c r="O89" s="130" t="n">
        <f aca="false">IFERROR(SUMPRODUCT(MAX((Warzone!$M$11:$M$42=$B89)*Warzone!$G$11:$G$42)),0)</f>
        <v>0</v>
      </c>
      <c r="P89" s="130" t="n">
        <f aca="false">IFERROR(SUMPRODUCT(MAX((Valorant!$N$11:$N$26=$B89)*Valorant!$H$11:$H$26)),0)</f>
        <v>0</v>
      </c>
      <c r="Q89" s="130" t="n">
        <f aca="false">IFERROR(SUMPRODUCT(MAX(('MLBB (MSC)'!$M$11:$M$35=$B89)*'MLBB (MSC)'!$G$11:$G$35)),0)</f>
        <v>0</v>
      </c>
      <c r="R89" s="130" t="n">
        <f aca="false">IFERROR(SUMPRODUCT(MAX(('Apex Legends'!$O$11:$O$50=$B89)*'Apex Legends'!$I$11:$I$50)),0)</f>
        <v>0</v>
      </c>
      <c r="S89" s="130" t="n">
        <f aca="false">IFERROR(SUMPRODUCT(MAX(('Honor of Kings'!$N$11:$N$30=$B89)*'Honor of Kings'!$H$11:$H$30)),0)</f>
        <v>0</v>
      </c>
      <c r="T89" s="130" t="n">
        <f aca="false">IFERROR(SUMPRODUCT(MAX((CrossFire!$L$11:$L$26=$B89)*CrossFire!$F$11:$F$26)),0)</f>
        <v>0</v>
      </c>
      <c r="U89" s="130" t="n">
        <f aca="false">IFERROR(SUMPRODUCT(MAX(('Free Fire'!$M$11:$M$34=$B89)*'Free Fire'!$G$11:$G$34)),0)</f>
        <v>0</v>
      </c>
      <c r="V89" s="130" t="n">
        <f aca="false">IFERROR(SUMPRODUCT(MAX(('EA FC 26'!$N$11:$N$46=$B89)*'EA FC 26'!$H$11:$H$46)),0)</f>
        <v>0</v>
      </c>
      <c r="W89" s="130" t="n">
        <f aca="false">IFERROR(SUMPRODUCT(MAX(('Black Ops 7'!$O$11:$O$26=$B89)*'Black Ops 7'!$J$11:$J$26)),0)</f>
        <v>0</v>
      </c>
      <c r="X89" s="130" t="n">
        <f aca="false">IFERROR(SUMPRODUCT(MAX(('Rocket League'!$P$11:$P$26=$B89)*'Rocket League'!$J$11:$J$26)),0)</f>
        <v>0</v>
      </c>
      <c r="Y89" s="130" t="n">
        <f aca="false">IFERROR(SUMPRODUCT(MAX(('Overwatch 2'!$L$11:$L$26=$B89)*'Overwatch 2'!$F$11:$F$26)),0)</f>
        <v>0</v>
      </c>
      <c r="Z89" s="130" t="n">
        <f aca="false">IFERROR(SUMPRODUCT(MAX((PUBG!$L$11:$L$34=$B89)*PUBG!$F$11:$F$34)),0)</f>
        <v>0</v>
      </c>
      <c r="AA89" s="130" t="n">
        <f aca="false">IFERROR(SUMPRODUCT(MAX(('MLBB Women'!$L$11:$L$26=$B89)*'MLBB Women'!$F$11:$F$26)),0)</f>
        <v>0</v>
      </c>
      <c r="AB89" s="130" t="n">
        <f aca="false">SUM(C89:AA89)</f>
        <v>0</v>
      </c>
      <c r="AC89" s="130"/>
      <c r="AD89" s="200" t="n">
        <f aca="false">AB89-AC89</f>
        <v>0</v>
      </c>
      <c r="AE89" s="82" t="str">
        <f aca="false">IF(AB89=0,"not started",IF(AD89=0,"reconciled",IF(AD89&gt;0,"CHECK NAMES","in progress")))</f>
        <v>not started</v>
      </c>
    </row>
    <row r="90" customFormat="false" ht="15" hidden="false" customHeight="true" outlineLevel="0" collapsed="false">
      <c r="B90" s="92" t="s">
        <v>269</v>
      </c>
      <c r="C90" s="130" t="n">
        <f aca="false">IFERROR(SUMIF(CS2!$L$11:$L$42,$B90,CS2!$F$11:$F$42),0)</f>
        <v>0</v>
      </c>
      <c r="D90" s="130" t="n">
        <f aca="false">IFERROR(SUMPRODUCT(MAX((Chess!$L$11:$L$32=$B90)*Chess!$F$11:$F$32)),0)</f>
        <v>0</v>
      </c>
      <c r="E90" s="130" t="n">
        <f aca="false">IFERROR(SUMPRODUCT(MAX((LoL!$L$11:$L$26=$B90)*LoL!$F$11:$F$26)),0)</f>
        <v>0</v>
      </c>
      <c r="F90" s="130" t="n">
        <f aca="false">IFERROR(SUMPRODUCT(MAX(('PUBG Mobile'!$L$11:$L$42=$B90)*'PUBG Mobile'!$F$11:$F$42)),0)</f>
        <v>0</v>
      </c>
      <c r="G90" s="130" t="n">
        <f aca="false">IFERROR(SUMPRODUCT(MAX(('Fortnite Reload'!$L$11:$L$50=$B90)*'Fortnite Reload'!$F$11:$F$50)),0)</f>
        <v>0</v>
      </c>
      <c r="H90" s="130" t="n">
        <f aca="false">IFERROR(SUMPRODUCT(MAX((Trackmania!$M$11:$M$42=$B90)*Trackmania!$G$11:$G$42)),0)</f>
        <v>0</v>
      </c>
      <c r="I90" s="130" t="n">
        <f aca="false">IFERROR(SUMPRODUCT(MAX(('Dota 2'!$N$11:$N$34=$B90)*'Dota 2'!$H$11:$H$34)),0)</f>
        <v>0</v>
      </c>
      <c r="J90" s="130" t="n">
        <f aca="false">IFERROR(SUMPRODUCT(MAX(('Tekken 8'!$N$11:$N$42=$B90)*'Tekken 8'!$H$11:$H$42)),0)</f>
        <v>0</v>
      </c>
      <c r="K90" s="130" t="n">
        <f aca="false">IFERROR(SUMPRODUCT(MAX(('Street Fighter 6'!$O$11:$O$42=$B90)*'Street Fighter 6'!$I$11:$I$42)),0)</f>
        <v>0</v>
      </c>
      <c r="L90" s="130" t="n">
        <f aca="false">IFERROR(SUMPRODUCT(MAX(('Fatal Fury CotW'!$L$11:$L$42=$B90)*'Fatal Fury CotW'!$F$11:$F$42)),0)</f>
        <v>0</v>
      </c>
      <c r="M90" s="130" t="n">
        <f aca="false">IFERROR(SUMPRODUCT(MAX((TFT!$N$11:$N$26=$B90)*TFT!$H$11:$H$26)),0)</f>
        <v>0</v>
      </c>
      <c r="N90" s="130" t="n">
        <f aca="false">IFERROR(SUMPRODUCT(MAX(('Rainbow Six'!$P$11:$P$32=$B90)*'Rainbow Six'!$J$11:$J$32)),0)</f>
        <v>0</v>
      </c>
      <c r="O90" s="130" t="n">
        <f aca="false">IFERROR(SUMPRODUCT(MAX((Warzone!$M$11:$M$42=$B90)*Warzone!$G$11:$G$42)),0)</f>
        <v>0</v>
      </c>
      <c r="P90" s="130" t="n">
        <f aca="false">IFERROR(SUMPRODUCT(MAX((Valorant!$N$11:$N$26=$B90)*Valorant!$H$11:$H$26)),0)</f>
        <v>0</v>
      </c>
      <c r="Q90" s="130" t="n">
        <f aca="false">IFERROR(SUMPRODUCT(MAX(('MLBB (MSC)'!$M$11:$M$35=$B90)*'MLBB (MSC)'!$G$11:$G$35)),0)</f>
        <v>0</v>
      </c>
      <c r="R90" s="130" t="n">
        <f aca="false">IFERROR(SUMPRODUCT(MAX(('Apex Legends'!$O$11:$O$50=$B90)*'Apex Legends'!$I$11:$I$50)),0)</f>
        <v>0</v>
      </c>
      <c r="S90" s="130" t="n">
        <f aca="false">IFERROR(SUMPRODUCT(MAX(('Honor of Kings'!$N$11:$N$30=$B90)*'Honor of Kings'!$H$11:$H$30)),0)</f>
        <v>0</v>
      </c>
      <c r="T90" s="130" t="n">
        <f aca="false">IFERROR(SUMPRODUCT(MAX((CrossFire!$L$11:$L$26=$B90)*CrossFire!$F$11:$F$26)),0)</f>
        <v>0</v>
      </c>
      <c r="U90" s="130" t="n">
        <f aca="false">IFERROR(SUMPRODUCT(MAX(('Free Fire'!$M$11:$M$34=$B90)*'Free Fire'!$G$11:$G$34)),0)</f>
        <v>0</v>
      </c>
      <c r="V90" s="130" t="n">
        <f aca="false">IFERROR(SUMPRODUCT(MAX(('EA FC 26'!$N$11:$N$46=$B90)*'EA FC 26'!$H$11:$H$46)),0)</f>
        <v>0</v>
      </c>
      <c r="W90" s="130" t="n">
        <f aca="false">IFERROR(SUMPRODUCT(MAX(('Black Ops 7'!$O$11:$O$26=$B90)*'Black Ops 7'!$J$11:$J$26)),0)</f>
        <v>0</v>
      </c>
      <c r="X90" s="130" t="n">
        <f aca="false">IFERROR(SUMPRODUCT(MAX(('Rocket League'!$P$11:$P$26=$B90)*'Rocket League'!$J$11:$J$26)),0)</f>
        <v>0</v>
      </c>
      <c r="Y90" s="130" t="n">
        <f aca="false">IFERROR(SUMPRODUCT(MAX(('Overwatch 2'!$L$11:$L$26=$B90)*'Overwatch 2'!$F$11:$F$26)),0)</f>
        <v>0</v>
      </c>
      <c r="Z90" s="130" t="n">
        <f aca="false">IFERROR(SUMPRODUCT(MAX((PUBG!$L$11:$L$34=$B90)*PUBG!$F$11:$F$34)),0)</f>
        <v>0</v>
      </c>
      <c r="AA90" s="130" t="n">
        <f aca="false">IFERROR(SUMPRODUCT(MAX(('MLBB Women'!$L$11:$L$26=$B90)*'MLBB Women'!$F$11:$F$26)),0)</f>
        <v>0</v>
      </c>
      <c r="AB90" s="130" t="n">
        <f aca="false">SUM(C90:AA90)</f>
        <v>0</v>
      </c>
      <c r="AC90" s="130"/>
      <c r="AD90" s="200" t="n">
        <f aca="false">AB90-AC90</f>
        <v>0</v>
      </c>
      <c r="AE90" s="82" t="str">
        <f aca="false">IF(AB90=0,"not started",IF(AD90=0,"reconciled",IF(AD90&gt;0,"CHECK NAMES","in progress")))</f>
        <v>not started</v>
      </c>
    </row>
    <row r="91" customFormat="false" ht="15" hidden="false" customHeight="true" outlineLevel="0" collapsed="false">
      <c r="B91" s="92" t="s">
        <v>271</v>
      </c>
      <c r="C91" s="130" t="n">
        <f aca="false">IFERROR(SUMIF(CS2!$L$11:$L$42,$B91,CS2!$F$11:$F$42),0)</f>
        <v>0</v>
      </c>
      <c r="D91" s="130" t="n">
        <f aca="false">IFERROR(SUMPRODUCT(MAX((Chess!$L$11:$L$32=$B91)*Chess!$F$11:$F$32)),0)</f>
        <v>0</v>
      </c>
      <c r="E91" s="130" t="n">
        <f aca="false">IFERROR(SUMPRODUCT(MAX((LoL!$L$11:$L$26=$B91)*LoL!$F$11:$F$26)),0)</f>
        <v>0</v>
      </c>
      <c r="F91" s="130" t="n">
        <f aca="false">IFERROR(SUMPRODUCT(MAX(('PUBG Mobile'!$L$11:$L$42=$B91)*'PUBG Mobile'!$F$11:$F$42)),0)</f>
        <v>0</v>
      </c>
      <c r="G91" s="130" t="n">
        <f aca="false">IFERROR(SUMPRODUCT(MAX(('Fortnite Reload'!$L$11:$L$50=$B91)*'Fortnite Reload'!$F$11:$F$50)),0)</f>
        <v>0</v>
      </c>
      <c r="H91" s="130" t="n">
        <f aca="false">IFERROR(SUMPRODUCT(MAX((Trackmania!$M$11:$M$42=$B91)*Trackmania!$G$11:$G$42)),0)</f>
        <v>0</v>
      </c>
      <c r="I91" s="130" t="n">
        <f aca="false">IFERROR(SUMPRODUCT(MAX(('Dota 2'!$N$11:$N$34=$B91)*'Dota 2'!$H$11:$H$34)),0)</f>
        <v>0</v>
      </c>
      <c r="J91" s="130" t="n">
        <f aca="false">IFERROR(SUMPRODUCT(MAX(('Tekken 8'!$N$11:$N$42=$B91)*'Tekken 8'!$H$11:$H$42)),0)</f>
        <v>0</v>
      </c>
      <c r="K91" s="130" t="n">
        <f aca="false">IFERROR(SUMPRODUCT(MAX(('Street Fighter 6'!$O$11:$O$42=$B91)*'Street Fighter 6'!$I$11:$I$42)),0)</f>
        <v>0</v>
      </c>
      <c r="L91" s="130" t="n">
        <f aca="false">IFERROR(SUMPRODUCT(MAX(('Fatal Fury CotW'!$L$11:$L$42=$B91)*'Fatal Fury CotW'!$F$11:$F$42)),0)</f>
        <v>0</v>
      </c>
      <c r="M91" s="130" t="n">
        <f aca="false">IFERROR(SUMPRODUCT(MAX((TFT!$N$11:$N$26=$B91)*TFT!$H$11:$H$26)),0)</f>
        <v>0</v>
      </c>
      <c r="N91" s="130" t="n">
        <f aca="false">IFERROR(SUMPRODUCT(MAX(('Rainbow Six'!$P$11:$P$32=$B91)*'Rainbow Six'!$J$11:$J$32)),0)</f>
        <v>0</v>
      </c>
      <c r="O91" s="130" t="n">
        <f aca="false">IFERROR(SUMPRODUCT(MAX((Warzone!$M$11:$M$42=$B91)*Warzone!$G$11:$G$42)),0)</f>
        <v>0</v>
      </c>
      <c r="P91" s="130" t="n">
        <f aca="false">IFERROR(SUMPRODUCT(MAX((Valorant!$N$11:$N$26=$B91)*Valorant!$H$11:$H$26)),0)</f>
        <v>0</v>
      </c>
      <c r="Q91" s="130" t="n">
        <f aca="false">IFERROR(SUMPRODUCT(MAX(('MLBB (MSC)'!$M$11:$M$35=$B91)*'MLBB (MSC)'!$G$11:$G$35)),0)</f>
        <v>0</v>
      </c>
      <c r="R91" s="130" t="n">
        <f aca="false">IFERROR(SUMPRODUCT(MAX(('Apex Legends'!$O$11:$O$50=$B91)*'Apex Legends'!$I$11:$I$50)),0)</f>
        <v>0</v>
      </c>
      <c r="S91" s="130" t="n">
        <f aca="false">IFERROR(SUMPRODUCT(MAX(('Honor of Kings'!$N$11:$N$30=$B91)*'Honor of Kings'!$H$11:$H$30)),0)</f>
        <v>0</v>
      </c>
      <c r="T91" s="130" t="n">
        <f aca="false">IFERROR(SUMPRODUCT(MAX((CrossFire!$L$11:$L$26=$B91)*CrossFire!$F$11:$F$26)),0)</f>
        <v>0</v>
      </c>
      <c r="U91" s="130" t="n">
        <f aca="false">IFERROR(SUMPRODUCT(MAX(('Free Fire'!$M$11:$M$34=$B91)*'Free Fire'!$G$11:$G$34)),0)</f>
        <v>0</v>
      </c>
      <c r="V91" s="130" t="n">
        <f aca="false">IFERROR(SUMPRODUCT(MAX(('EA FC 26'!$N$11:$N$46=$B91)*'EA FC 26'!$H$11:$H$46)),0)</f>
        <v>0</v>
      </c>
      <c r="W91" s="130" t="n">
        <f aca="false">IFERROR(SUMPRODUCT(MAX(('Black Ops 7'!$O$11:$O$26=$B91)*'Black Ops 7'!$J$11:$J$26)),0)</f>
        <v>0</v>
      </c>
      <c r="X91" s="130" t="n">
        <f aca="false">IFERROR(SUMPRODUCT(MAX(('Rocket League'!$P$11:$P$26=$B91)*'Rocket League'!$J$11:$J$26)),0)</f>
        <v>0</v>
      </c>
      <c r="Y91" s="130" t="n">
        <f aca="false">IFERROR(SUMPRODUCT(MAX(('Overwatch 2'!$L$11:$L$26=$B91)*'Overwatch 2'!$F$11:$F$26)),0)</f>
        <v>0</v>
      </c>
      <c r="Z91" s="130" t="n">
        <f aca="false">IFERROR(SUMPRODUCT(MAX((PUBG!$L$11:$L$34=$B91)*PUBG!$F$11:$F$34)),0)</f>
        <v>0</v>
      </c>
      <c r="AA91" s="130" t="n">
        <f aca="false">IFERROR(SUMPRODUCT(MAX(('MLBB Women'!$L$11:$L$26=$B91)*'MLBB Women'!$F$11:$F$26)),0)</f>
        <v>0</v>
      </c>
      <c r="AB91" s="130" t="n">
        <f aca="false">SUM(C91:AA91)</f>
        <v>0</v>
      </c>
      <c r="AC91" s="130"/>
      <c r="AD91" s="200" t="n">
        <f aca="false">AB91-AC91</f>
        <v>0</v>
      </c>
      <c r="AE91" s="82" t="str">
        <f aca="false">IF(AB91=0,"not started",IF(AD91=0,"reconciled",IF(AD91&gt;0,"CHECK NAMES","in progress")))</f>
        <v>not started</v>
      </c>
    </row>
    <row r="92" customFormat="false" ht="15" hidden="false" customHeight="true" outlineLevel="0" collapsed="false">
      <c r="B92" s="92" t="s">
        <v>233</v>
      </c>
      <c r="C92" s="130" t="n">
        <f aca="false">IFERROR(SUMIF(CS2!$L$11:$L$42,$B92,CS2!$F$11:$F$42),0)</f>
        <v>0</v>
      </c>
      <c r="D92" s="130" t="n">
        <f aca="false">IFERROR(SUMPRODUCT(MAX((Chess!$L$11:$L$32=$B92)*Chess!$F$11:$F$32)),0)</f>
        <v>0</v>
      </c>
      <c r="E92" s="130" t="n">
        <f aca="false">IFERROR(SUMPRODUCT(MAX((LoL!$L$11:$L$26=$B92)*LoL!$F$11:$F$26)),0)</f>
        <v>0</v>
      </c>
      <c r="F92" s="130" t="n">
        <f aca="false">IFERROR(SUMPRODUCT(MAX(('PUBG Mobile'!$L$11:$L$42=$B92)*'PUBG Mobile'!$F$11:$F$42)),0)</f>
        <v>0</v>
      </c>
      <c r="G92" s="130" t="n">
        <f aca="false">IFERROR(SUMPRODUCT(MAX(('Fortnite Reload'!$L$11:$L$50=$B92)*'Fortnite Reload'!$F$11:$F$50)),0)</f>
        <v>0</v>
      </c>
      <c r="H92" s="130" t="n">
        <f aca="false">IFERROR(SUMPRODUCT(MAX((Trackmania!$M$11:$M$42=$B92)*Trackmania!$G$11:$G$42)),0)</f>
        <v>0</v>
      </c>
      <c r="I92" s="130" t="n">
        <f aca="false">IFERROR(SUMPRODUCT(MAX(('Dota 2'!$N$11:$N$34=$B92)*'Dota 2'!$H$11:$H$34)),0)</f>
        <v>0</v>
      </c>
      <c r="J92" s="130" t="n">
        <f aca="false">IFERROR(SUMPRODUCT(MAX(('Tekken 8'!$N$11:$N$42=$B92)*'Tekken 8'!$H$11:$H$42)),0)</f>
        <v>0</v>
      </c>
      <c r="K92" s="130" t="n">
        <f aca="false">IFERROR(SUMPRODUCT(MAX(('Street Fighter 6'!$O$11:$O$42=$B92)*'Street Fighter 6'!$I$11:$I$42)),0)</f>
        <v>0</v>
      </c>
      <c r="L92" s="130" t="n">
        <f aca="false">IFERROR(SUMPRODUCT(MAX(('Fatal Fury CotW'!$L$11:$L$42=$B92)*'Fatal Fury CotW'!$F$11:$F$42)),0)</f>
        <v>0</v>
      </c>
      <c r="M92" s="130" t="n">
        <f aca="false">IFERROR(SUMPRODUCT(MAX((TFT!$N$11:$N$26=$B92)*TFT!$H$11:$H$26)),0)</f>
        <v>0</v>
      </c>
      <c r="N92" s="130" t="n">
        <f aca="false">IFERROR(SUMPRODUCT(MAX(('Rainbow Six'!$P$11:$P$32=$B92)*'Rainbow Six'!$J$11:$J$32)),0)</f>
        <v>0</v>
      </c>
      <c r="O92" s="130" t="n">
        <f aca="false">IFERROR(SUMPRODUCT(MAX((Warzone!$M$11:$M$42=$B92)*Warzone!$G$11:$G$42)),0)</f>
        <v>0</v>
      </c>
      <c r="P92" s="130" t="n">
        <f aca="false">IFERROR(SUMPRODUCT(MAX((Valorant!$N$11:$N$26=$B92)*Valorant!$H$11:$H$26)),0)</f>
        <v>0</v>
      </c>
      <c r="Q92" s="130" t="n">
        <f aca="false">IFERROR(SUMPRODUCT(MAX(('MLBB (MSC)'!$M$11:$M$35=$B92)*'MLBB (MSC)'!$G$11:$G$35)),0)</f>
        <v>0</v>
      </c>
      <c r="R92" s="130" t="n">
        <f aca="false">IFERROR(SUMPRODUCT(MAX(('Apex Legends'!$O$11:$O$50=$B92)*'Apex Legends'!$I$11:$I$50)),0)</f>
        <v>0</v>
      </c>
      <c r="S92" s="130" t="n">
        <f aca="false">IFERROR(SUMPRODUCT(MAX(('Honor of Kings'!$N$11:$N$30=$B92)*'Honor of Kings'!$H$11:$H$30)),0)</f>
        <v>0</v>
      </c>
      <c r="T92" s="130" t="n">
        <f aca="false">IFERROR(SUMPRODUCT(MAX((CrossFire!$L$11:$L$26=$B92)*CrossFire!$F$11:$F$26)),0)</f>
        <v>0</v>
      </c>
      <c r="U92" s="130" t="n">
        <f aca="false">IFERROR(SUMPRODUCT(MAX(('Free Fire'!$M$11:$M$34=$B92)*'Free Fire'!$G$11:$G$34)),0)</f>
        <v>0</v>
      </c>
      <c r="V92" s="130" t="n">
        <f aca="false">IFERROR(SUMPRODUCT(MAX(('EA FC 26'!$N$11:$N$46=$B92)*'EA FC 26'!$H$11:$H$46)),0)</f>
        <v>0</v>
      </c>
      <c r="W92" s="130" t="n">
        <f aca="false">IFERROR(SUMPRODUCT(MAX(('Black Ops 7'!$O$11:$O$26=$B92)*'Black Ops 7'!$J$11:$J$26)),0)</f>
        <v>0</v>
      </c>
      <c r="X92" s="130" t="n">
        <f aca="false">IFERROR(SUMPRODUCT(MAX(('Rocket League'!$P$11:$P$26=$B92)*'Rocket League'!$J$11:$J$26)),0)</f>
        <v>0</v>
      </c>
      <c r="Y92" s="130" t="n">
        <f aca="false">IFERROR(SUMPRODUCT(MAX(('Overwatch 2'!$L$11:$L$26=$B92)*'Overwatch 2'!$F$11:$F$26)),0)</f>
        <v>0</v>
      </c>
      <c r="Z92" s="130" t="n">
        <f aca="false">IFERROR(SUMPRODUCT(MAX((PUBG!$L$11:$L$34=$B92)*PUBG!$F$11:$F$34)),0)</f>
        <v>0</v>
      </c>
      <c r="AA92" s="130" t="n">
        <f aca="false">IFERROR(SUMPRODUCT(MAX(('MLBB Women'!$L$11:$L$26=$B92)*'MLBB Women'!$F$11:$F$26)),0)</f>
        <v>0</v>
      </c>
      <c r="AB92" s="130" t="n">
        <f aca="false">SUM(C92:AA92)</f>
        <v>0</v>
      </c>
      <c r="AC92" s="130"/>
      <c r="AD92" s="200" t="n">
        <f aca="false">AB92-AC92</f>
        <v>0</v>
      </c>
      <c r="AE92" s="82" t="str">
        <f aca="false">IF(AB92=0,"not started",IF(AD92=0,"reconciled",IF(AD92&gt;0,"CHECK NAMES","in progress")))</f>
        <v>not started</v>
      </c>
    </row>
    <row r="93" customFormat="false" ht="15" hidden="false" customHeight="true" outlineLevel="0" collapsed="false">
      <c r="B93" s="92" t="s">
        <v>344</v>
      </c>
      <c r="C93" s="130" t="n">
        <f aca="false">IFERROR(SUMIF(CS2!$L$11:$L$42,$B93,CS2!$F$11:$F$42),0)</f>
        <v>0</v>
      </c>
      <c r="D93" s="130" t="n">
        <f aca="false">IFERROR(SUMPRODUCT(MAX((Chess!$L$11:$L$32=$B93)*Chess!$F$11:$F$32)),0)</f>
        <v>0</v>
      </c>
      <c r="E93" s="130" t="n">
        <f aca="false">IFERROR(SUMPRODUCT(MAX((LoL!$L$11:$L$26=$B93)*LoL!$F$11:$F$26)),0)</f>
        <v>0</v>
      </c>
      <c r="F93" s="130" t="n">
        <f aca="false">IFERROR(SUMPRODUCT(MAX(('PUBG Mobile'!$L$11:$L$42=$B93)*'PUBG Mobile'!$F$11:$F$42)),0)</f>
        <v>0</v>
      </c>
      <c r="G93" s="130" t="n">
        <f aca="false">IFERROR(SUMPRODUCT(MAX(('Fortnite Reload'!$L$11:$L$50=$B93)*'Fortnite Reload'!$F$11:$F$50)),0)</f>
        <v>0</v>
      </c>
      <c r="H93" s="130" t="n">
        <f aca="false">IFERROR(SUMPRODUCT(MAX((Trackmania!$M$11:$M$42=$B93)*Trackmania!$G$11:$G$42)),0)</f>
        <v>0</v>
      </c>
      <c r="I93" s="130" t="n">
        <f aca="false">IFERROR(SUMPRODUCT(MAX(('Dota 2'!$N$11:$N$34=$B93)*'Dota 2'!$H$11:$H$34)),0)</f>
        <v>0</v>
      </c>
      <c r="J93" s="130" t="n">
        <f aca="false">IFERROR(SUMPRODUCT(MAX(('Tekken 8'!$N$11:$N$42=$B93)*'Tekken 8'!$H$11:$H$42)),0)</f>
        <v>0</v>
      </c>
      <c r="K93" s="130" t="n">
        <f aca="false">IFERROR(SUMPRODUCT(MAX(('Street Fighter 6'!$O$11:$O$42=$B93)*'Street Fighter 6'!$I$11:$I$42)),0)</f>
        <v>0</v>
      </c>
      <c r="L93" s="130" t="n">
        <f aca="false">IFERROR(SUMPRODUCT(MAX(('Fatal Fury CotW'!$L$11:$L$42=$B93)*'Fatal Fury CotW'!$F$11:$F$42)),0)</f>
        <v>0</v>
      </c>
      <c r="M93" s="130" t="n">
        <f aca="false">IFERROR(SUMPRODUCT(MAX((TFT!$N$11:$N$26=$B93)*TFT!$H$11:$H$26)),0)</f>
        <v>0</v>
      </c>
      <c r="N93" s="130" t="n">
        <f aca="false">IFERROR(SUMPRODUCT(MAX(('Rainbow Six'!$P$11:$P$32=$B93)*'Rainbow Six'!$J$11:$J$32)),0)</f>
        <v>0</v>
      </c>
      <c r="O93" s="130" t="n">
        <f aca="false">IFERROR(SUMPRODUCT(MAX((Warzone!$M$11:$M$42=$B93)*Warzone!$G$11:$G$42)),0)</f>
        <v>0</v>
      </c>
      <c r="P93" s="130" t="n">
        <f aca="false">IFERROR(SUMPRODUCT(MAX((Valorant!$N$11:$N$26=$B93)*Valorant!$H$11:$H$26)),0)</f>
        <v>0</v>
      </c>
      <c r="Q93" s="130" t="n">
        <f aca="false">IFERROR(SUMPRODUCT(MAX(('MLBB (MSC)'!$M$11:$M$35=$B93)*'MLBB (MSC)'!$G$11:$G$35)),0)</f>
        <v>0</v>
      </c>
      <c r="R93" s="130" t="n">
        <f aca="false">IFERROR(SUMPRODUCT(MAX(('Apex Legends'!$O$11:$O$50=$B93)*'Apex Legends'!$I$11:$I$50)),0)</f>
        <v>0</v>
      </c>
      <c r="S93" s="130" t="n">
        <f aca="false">IFERROR(SUMPRODUCT(MAX(('Honor of Kings'!$N$11:$N$30=$B93)*'Honor of Kings'!$H$11:$H$30)),0)</f>
        <v>0</v>
      </c>
      <c r="T93" s="130" t="n">
        <f aca="false">IFERROR(SUMPRODUCT(MAX((CrossFire!$L$11:$L$26=$B93)*CrossFire!$F$11:$F$26)),0)</f>
        <v>0</v>
      </c>
      <c r="U93" s="130" t="n">
        <f aca="false">IFERROR(SUMPRODUCT(MAX(('Free Fire'!$M$11:$M$34=$B93)*'Free Fire'!$G$11:$G$34)),0)</f>
        <v>0</v>
      </c>
      <c r="V93" s="130" t="n">
        <f aca="false">IFERROR(SUMPRODUCT(MAX(('EA FC 26'!$N$11:$N$46=$B93)*'EA FC 26'!$H$11:$H$46)),0)</f>
        <v>0</v>
      </c>
      <c r="W93" s="130" t="n">
        <f aca="false">IFERROR(SUMPRODUCT(MAX(('Black Ops 7'!$O$11:$O$26=$B93)*'Black Ops 7'!$J$11:$J$26)),0)</f>
        <v>0</v>
      </c>
      <c r="X93" s="130" t="n">
        <f aca="false">IFERROR(SUMPRODUCT(MAX(('Rocket League'!$P$11:$P$26=$B93)*'Rocket League'!$J$11:$J$26)),0)</f>
        <v>0</v>
      </c>
      <c r="Y93" s="130" t="n">
        <f aca="false">IFERROR(SUMPRODUCT(MAX(('Overwatch 2'!$L$11:$L$26=$B93)*'Overwatch 2'!$F$11:$F$26)),0)</f>
        <v>0</v>
      </c>
      <c r="Z93" s="130" t="n">
        <f aca="false">IFERROR(SUMPRODUCT(MAX((PUBG!$L$11:$L$34=$B93)*PUBG!$F$11:$F$34)),0)</f>
        <v>0</v>
      </c>
      <c r="AA93" s="130" t="n">
        <f aca="false">IFERROR(SUMPRODUCT(MAX(('MLBB Women'!$L$11:$L$26=$B93)*'MLBB Women'!$F$11:$F$26)),0)</f>
        <v>0</v>
      </c>
      <c r="AB93" s="130" t="n">
        <f aca="false">SUM(C93:AA93)</f>
        <v>0</v>
      </c>
      <c r="AC93" s="130"/>
      <c r="AD93" s="200" t="n">
        <f aca="false">AB93-AC93</f>
        <v>0</v>
      </c>
      <c r="AE93" s="82" t="str">
        <f aca="false">IF(AB93=0,"not started",IF(AD93=0,"reconciled",IF(AD93&gt;0,"CHECK NAMES","in progress")))</f>
        <v>not started</v>
      </c>
    </row>
    <row r="94" customFormat="false" ht="15" hidden="false" customHeight="true" outlineLevel="0" collapsed="false">
      <c r="B94" s="92" t="s">
        <v>342</v>
      </c>
      <c r="C94" s="130" t="n">
        <f aca="false">IFERROR(SUMIF(CS2!$L$11:$L$42,$B94,CS2!$F$11:$F$42),0)</f>
        <v>0</v>
      </c>
      <c r="D94" s="130" t="n">
        <f aca="false">IFERROR(SUMPRODUCT(MAX((Chess!$L$11:$L$32=$B94)*Chess!$F$11:$F$32)),0)</f>
        <v>0</v>
      </c>
      <c r="E94" s="130" t="n">
        <f aca="false">IFERROR(SUMPRODUCT(MAX((LoL!$L$11:$L$26=$B94)*LoL!$F$11:$F$26)),0)</f>
        <v>0</v>
      </c>
      <c r="F94" s="130" t="n">
        <f aca="false">IFERROR(SUMPRODUCT(MAX(('PUBG Mobile'!$L$11:$L$42=$B94)*'PUBG Mobile'!$F$11:$F$42)),0)</f>
        <v>0</v>
      </c>
      <c r="G94" s="130" t="n">
        <f aca="false">IFERROR(SUMPRODUCT(MAX(('Fortnite Reload'!$L$11:$L$50=$B94)*'Fortnite Reload'!$F$11:$F$50)),0)</f>
        <v>0</v>
      </c>
      <c r="H94" s="130" t="n">
        <f aca="false">IFERROR(SUMPRODUCT(MAX((Trackmania!$M$11:$M$42=$B94)*Trackmania!$G$11:$G$42)),0)</f>
        <v>0</v>
      </c>
      <c r="I94" s="130" t="n">
        <f aca="false">IFERROR(SUMPRODUCT(MAX(('Dota 2'!$N$11:$N$34=$B94)*'Dota 2'!$H$11:$H$34)),0)</f>
        <v>0</v>
      </c>
      <c r="J94" s="130" t="n">
        <f aca="false">IFERROR(SUMPRODUCT(MAX(('Tekken 8'!$N$11:$N$42=$B94)*'Tekken 8'!$H$11:$H$42)),0)</f>
        <v>0</v>
      </c>
      <c r="K94" s="130" t="n">
        <f aca="false">IFERROR(SUMPRODUCT(MAX(('Street Fighter 6'!$O$11:$O$42=$B94)*'Street Fighter 6'!$I$11:$I$42)),0)</f>
        <v>0</v>
      </c>
      <c r="L94" s="130" t="n">
        <f aca="false">IFERROR(SUMPRODUCT(MAX(('Fatal Fury CotW'!$L$11:$L$42=$B94)*'Fatal Fury CotW'!$F$11:$F$42)),0)</f>
        <v>0</v>
      </c>
      <c r="M94" s="130" t="n">
        <f aca="false">IFERROR(SUMPRODUCT(MAX((TFT!$N$11:$N$26=$B94)*TFT!$H$11:$H$26)),0)</f>
        <v>0</v>
      </c>
      <c r="N94" s="130" t="n">
        <f aca="false">IFERROR(SUMPRODUCT(MAX(('Rainbow Six'!$P$11:$P$32=$B94)*'Rainbow Six'!$J$11:$J$32)),0)</f>
        <v>0</v>
      </c>
      <c r="O94" s="130" t="n">
        <f aca="false">IFERROR(SUMPRODUCT(MAX((Warzone!$M$11:$M$42=$B94)*Warzone!$G$11:$G$42)),0)</f>
        <v>0</v>
      </c>
      <c r="P94" s="130" t="n">
        <f aca="false">IFERROR(SUMPRODUCT(MAX((Valorant!$N$11:$N$26=$B94)*Valorant!$H$11:$H$26)),0)</f>
        <v>0</v>
      </c>
      <c r="Q94" s="130" t="n">
        <f aca="false">IFERROR(SUMPRODUCT(MAX(('MLBB (MSC)'!$M$11:$M$35=$B94)*'MLBB (MSC)'!$G$11:$G$35)),0)</f>
        <v>0</v>
      </c>
      <c r="R94" s="130" t="n">
        <f aca="false">IFERROR(SUMPRODUCT(MAX(('Apex Legends'!$O$11:$O$50=$B94)*'Apex Legends'!$I$11:$I$50)),0)</f>
        <v>0</v>
      </c>
      <c r="S94" s="130" t="n">
        <f aca="false">IFERROR(SUMPRODUCT(MAX(('Honor of Kings'!$N$11:$N$30=$B94)*'Honor of Kings'!$H$11:$H$30)),0)</f>
        <v>0</v>
      </c>
      <c r="T94" s="130" t="n">
        <f aca="false">IFERROR(SUMPRODUCT(MAX((CrossFire!$L$11:$L$26=$B94)*CrossFire!$F$11:$F$26)),0)</f>
        <v>0</v>
      </c>
      <c r="U94" s="130" t="n">
        <f aca="false">IFERROR(SUMPRODUCT(MAX(('Free Fire'!$M$11:$M$34=$B94)*'Free Fire'!$G$11:$G$34)),0)</f>
        <v>0</v>
      </c>
      <c r="V94" s="130" t="n">
        <f aca="false">IFERROR(SUMPRODUCT(MAX(('EA FC 26'!$N$11:$N$46=$B94)*'EA FC 26'!$H$11:$H$46)),0)</f>
        <v>0</v>
      </c>
      <c r="W94" s="130" t="n">
        <f aca="false">IFERROR(SUMPRODUCT(MAX(('Black Ops 7'!$O$11:$O$26=$B94)*'Black Ops 7'!$J$11:$J$26)),0)</f>
        <v>0</v>
      </c>
      <c r="X94" s="130" t="n">
        <f aca="false">IFERROR(SUMPRODUCT(MAX(('Rocket League'!$P$11:$P$26=$B94)*'Rocket League'!$J$11:$J$26)),0)</f>
        <v>0</v>
      </c>
      <c r="Y94" s="130" t="n">
        <f aca="false">IFERROR(SUMPRODUCT(MAX(('Overwatch 2'!$L$11:$L$26=$B94)*'Overwatch 2'!$F$11:$F$26)),0)</f>
        <v>0</v>
      </c>
      <c r="Z94" s="130" t="n">
        <f aca="false">IFERROR(SUMPRODUCT(MAX((PUBG!$L$11:$L$34=$B94)*PUBG!$F$11:$F$34)),0)</f>
        <v>0</v>
      </c>
      <c r="AA94" s="130" t="n">
        <f aca="false">IFERROR(SUMPRODUCT(MAX(('MLBB Women'!$L$11:$L$26=$B94)*'MLBB Women'!$F$11:$F$26)),0)</f>
        <v>0</v>
      </c>
      <c r="AB94" s="130" t="n">
        <f aca="false">SUM(C94:AA94)</f>
        <v>0</v>
      </c>
      <c r="AC94" s="130"/>
      <c r="AD94" s="200" t="n">
        <f aca="false">AB94-AC94</f>
        <v>0</v>
      </c>
      <c r="AE94" s="82" t="str">
        <f aca="false">IF(AB94=0,"not started",IF(AD94=0,"reconciled",IF(AD94&gt;0,"CHECK NAMES","in progress")))</f>
        <v>not started</v>
      </c>
    </row>
    <row r="95" customFormat="false" ht="15" hidden="false" customHeight="true" outlineLevel="0" collapsed="false">
      <c r="B95" s="92" t="s">
        <v>308</v>
      </c>
      <c r="C95" s="130" t="n">
        <f aca="false">IFERROR(SUMIF(CS2!$L$11:$L$42,$B95,CS2!$F$11:$F$42),0)</f>
        <v>0</v>
      </c>
      <c r="D95" s="130" t="n">
        <f aca="false">IFERROR(SUMPRODUCT(MAX((Chess!$L$11:$L$32=$B95)*Chess!$F$11:$F$32)),0)</f>
        <v>0</v>
      </c>
      <c r="E95" s="130" t="n">
        <f aca="false">IFERROR(SUMPRODUCT(MAX((LoL!$L$11:$L$26=$B95)*LoL!$F$11:$F$26)),0)</f>
        <v>0</v>
      </c>
      <c r="F95" s="130" t="n">
        <f aca="false">IFERROR(SUMPRODUCT(MAX(('PUBG Mobile'!$L$11:$L$42=$B95)*'PUBG Mobile'!$F$11:$F$42)),0)</f>
        <v>0</v>
      </c>
      <c r="G95" s="130" t="n">
        <f aca="false">IFERROR(SUMPRODUCT(MAX(('Fortnite Reload'!$L$11:$L$50=$B95)*'Fortnite Reload'!$F$11:$F$50)),0)</f>
        <v>0</v>
      </c>
      <c r="H95" s="130" t="n">
        <f aca="false">IFERROR(SUMPRODUCT(MAX((Trackmania!$M$11:$M$42=$B95)*Trackmania!$G$11:$G$42)),0)</f>
        <v>0</v>
      </c>
      <c r="I95" s="130" t="n">
        <f aca="false">IFERROR(SUMPRODUCT(MAX(('Dota 2'!$N$11:$N$34=$B95)*'Dota 2'!$H$11:$H$34)),0)</f>
        <v>0</v>
      </c>
      <c r="J95" s="130" t="n">
        <f aca="false">IFERROR(SUMPRODUCT(MAX(('Tekken 8'!$N$11:$N$42=$B95)*'Tekken 8'!$H$11:$H$42)),0)</f>
        <v>0</v>
      </c>
      <c r="K95" s="130" t="n">
        <f aca="false">IFERROR(SUMPRODUCT(MAX(('Street Fighter 6'!$O$11:$O$42=$B95)*'Street Fighter 6'!$I$11:$I$42)),0)</f>
        <v>0</v>
      </c>
      <c r="L95" s="130" t="n">
        <f aca="false">IFERROR(SUMPRODUCT(MAX(('Fatal Fury CotW'!$L$11:$L$42=$B95)*'Fatal Fury CotW'!$F$11:$F$42)),0)</f>
        <v>0</v>
      </c>
      <c r="M95" s="130" t="n">
        <f aca="false">IFERROR(SUMPRODUCT(MAX((TFT!$N$11:$N$26=$B95)*TFT!$H$11:$H$26)),0)</f>
        <v>0</v>
      </c>
      <c r="N95" s="130" t="n">
        <f aca="false">IFERROR(SUMPRODUCT(MAX(('Rainbow Six'!$P$11:$P$32=$B95)*'Rainbow Six'!$J$11:$J$32)),0)</f>
        <v>0</v>
      </c>
      <c r="O95" s="130" t="n">
        <f aca="false">IFERROR(SUMPRODUCT(MAX((Warzone!$M$11:$M$42=$B95)*Warzone!$G$11:$G$42)),0)</f>
        <v>0</v>
      </c>
      <c r="P95" s="130" t="n">
        <f aca="false">IFERROR(SUMPRODUCT(MAX((Valorant!$N$11:$N$26=$B95)*Valorant!$H$11:$H$26)),0)</f>
        <v>0</v>
      </c>
      <c r="Q95" s="130" t="n">
        <f aca="false">IFERROR(SUMPRODUCT(MAX(('MLBB (MSC)'!$M$11:$M$35=$B95)*'MLBB (MSC)'!$G$11:$G$35)),0)</f>
        <v>0</v>
      </c>
      <c r="R95" s="130" t="n">
        <f aca="false">IFERROR(SUMPRODUCT(MAX(('Apex Legends'!$O$11:$O$50=$B95)*'Apex Legends'!$I$11:$I$50)),0)</f>
        <v>0</v>
      </c>
      <c r="S95" s="130" t="n">
        <f aca="false">IFERROR(SUMPRODUCT(MAX(('Honor of Kings'!$N$11:$N$30=$B95)*'Honor of Kings'!$H$11:$H$30)),0)</f>
        <v>0</v>
      </c>
      <c r="T95" s="130" t="n">
        <f aca="false">IFERROR(SUMPRODUCT(MAX((CrossFire!$L$11:$L$26=$B95)*CrossFire!$F$11:$F$26)),0)</f>
        <v>0</v>
      </c>
      <c r="U95" s="130" t="n">
        <f aca="false">IFERROR(SUMPRODUCT(MAX(('Free Fire'!$M$11:$M$34=$B95)*'Free Fire'!$G$11:$G$34)),0)</f>
        <v>0</v>
      </c>
      <c r="V95" s="130" t="n">
        <f aca="false">IFERROR(SUMPRODUCT(MAX(('EA FC 26'!$N$11:$N$46=$B95)*'EA FC 26'!$H$11:$H$46)),0)</f>
        <v>0</v>
      </c>
      <c r="W95" s="130" t="n">
        <f aca="false">IFERROR(SUMPRODUCT(MAX(('Black Ops 7'!$O$11:$O$26=$B95)*'Black Ops 7'!$J$11:$J$26)),0)</f>
        <v>0</v>
      </c>
      <c r="X95" s="130" t="n">
        <f aca="false">IFERROR(SUMPRODUCT(MAX(('Rocket League'!$P$11:$P$26=$B95)*'Rocket League'!$J$11:$J$26)),0)</f>
        <v>0</v>
      </c>
      <c r="Y95" s="130" t="n">
        <f aca="false">IFERROR(SUMPRODUCT(MAX(('Overwatch 2'!$L$11:$L$26=$B95)*'Overwatch 2'!$F$11:$F$26)),0)</f>
        <v>0</v>
      </c>
      <c r="Z95" s="130" t="n">
        <f aca="false">IFERROR(SUMPRODUCT(MAX((PUBG!$L$11:$L$34=$B95)*PUBG!$F$11:$F$34)),0)</f>
        <v>0</v>
      </c>
      <c r="AA95" s="130" t="n">
        <f aca="false">IFERROR(SUMPRODUCT(MAX(('MLBB Women'!$L$11:$L$26=$B95)*'MLBB Women'!$F$11:$F$26)),0)</f>
        <v>0</v>
      </c>
      <c r="AB95" s="130" t="n">
        <f aca="false">SUM(C95:AA95)</f>
        <v>0</v>
      </c>
      <c r="AC95" s="130"/>
      <c r="AD95" s="200" t="n">
        <f aca="false">AB95-AC95</f>
        <v>0</v>
      </c>
      <c r="AE95" s="82" t="str">
        <f aca="false">IF(AB95=0,"not started",IF(AD95=0,"reconciled",IF(AD95&gt;0,"CHECK NAMES","in progress")))</f>
        <v>not started</v>
      </c>
    </row>
    <row r="96" customFormat="false" ht="15" hidden="false" customHeight="true" outlineLevel="0" collapsed="false">
      <c r="B96" s="92" t="s">
        <v>310</v>
      </c>
      <c r="C96" s="130" t="n">
        <f aca="false">IFERROR(SUMIF(CS2!$L$11:$L$42,$B96,CS2!$F$11:$F$42),0)</f>
        <v>0</v>
      </c>
      <c r="D96" s="130" t="n">
        <f aca="false">IFERROR(SUMPRODUCT(MAX((Chess!$L$11:$L$32=$B96)*Chess!$F$11:$F$32)),0)</f>
        <v>0</v>
      </c>
      <c r="E96" s="130" t="n">
        <f aca="false">IFERROR(SUMPRODUCT(MAX((LoL!$L$11:$L$26=$B96)*LoL!$F$11:$F$26)),0)</f>
        <v>0</v>
      </c>
      <c r="F96" s="130" t="n">
        <f aca="false">IFERROR(SUMPRODUCT(MAX(('PUBG Mobile'!$L$11:$L$42=$B96)*'PUBG Mobile'!$F$11:$F$42)),0)</f>
        <v>0</v>
      </c>
      <c r="G96" s="130" t="n">
        <f aca="false">IFERROR(SUMPRODUCT(MAX(('Fortnite Reload'!$L$11:$L$50=$B96)*'Fortnite Reload'!$F$11:$F$50)),0)</f>
        <v>0</v>
      </c>
      <c r="H96" s="130" t="n">
        <f aca="false">IFERROR(SUMPRODUCT(MAX((Trackmania!$M$11:$M$42=$B96)*Trackmania!$G$11:$G$42)),0)</f>
        <v>0</v>
      </c>
      <c r="I96" s="130" t="n">
        <f aca="false">IFERROR(SUMPRODUCT(MAX(('Dota 2'!$N$11:$N$34=$B96)*'Dota 2'!$H$11:$H$34)),0)</f>
        <v>0</v>
      </c>
      <c r="J96" s="130" t="n">
        <f aca="false">IFERROR(SUMPRODUCT(MAX(('Tekken 8'!$N$11:$N$42=$B96)*'Tekken 8'!$H$11:$H$42)),0)</f>
        <v>0</v>
      </c>
      <c r="K96" s="130" t="n">
        <f aca="false">IFERROR(SUMPRODUCT(MAX(('Street Fighter 6'!$O$11:$O$42=$B96)*'Street Fighter 6'!$I$11:$I$42)),0)</f>
        <v>0</v>
      </c>
      <c r="L96" s="130" t="n">
        <f aca="false">IFERROR(SUMPRODUCT(MAX(('Fatal Fury CotW'!$L$11:$L$42=$B96)*'Fatal Fury CotW'!$F$11:$F$42)),0)</f>
        <v>0</v>
      </c>
      <c r="M96" s="130" t="n">
        <f aca="false">IFERROR(SUMPRODUCT(MAX((TFT!$N$11:$N$26=$B96)*TFT!$H$11:$H$26)),0)</f>
        <v>0</v>
      </c>
      <c r="N96" s="130" t="n">
        <f aca="false">IFERROR(SUMPRODUCT(MAX(('Rainbow Six'!$P$11:$P$32=$B96)*'Rainbow Six'!$J$11:$J$32)),0)</f>
        <v>0</v>
      </c>
      <c r="O96" s="130" t="n">
        <f aca="false">IFERROR(SUMPRODUCT(MAX((Warzone!$M$11:$M$42=$B96)*Warzone!$G$11:$G$42)),0)</f>
        <v>0</v>
      </c>
      <c r="P96" s="130" t="n">
        <f aca="false">IFERROR(SUMPRODUCT(MAX((Valorant!$N$11:$N$26=$B96)*Valorant!$H$11:$H$26)),0)</f>
        <v>0</v>
      </c>
      <c r="Q96" s="130" t="n">
        <f aca="false">IFERROR(SUMPRODUCT(MAX(('MLBB (MSC)'!$M$11:$M$35=$B96)*'MLBB (MSC)'!$G$11:$G$35)),0)</f>
        <v>0</v>
      </c>
      <c r="R96" s="130" t="n">
        <f aca="false">IFERROR(SUMPRODUCT(MAX(('Apex Legends'!$O$11:$O$50=$B96)*'Apex Legends'!$I$11:$I$50)),0)</f>
        <v>0</v>
      </c>
      <c r="S96" s="130" t="n">
        <f aca="false">IFERROR(SUMPRODUCT(MAX(('Honor of Kings'!$N$11:$N$30=$B96)*'Honor of Kings'!$H$11:$H$30)),0)</f>
        <v>0</v>
      </c>
      <c r="T96" s="130" t="n">
        <f aca="false">IFERROR(SUMPRODUCT(MAX((CrossFire!$L$11:$L$26=$B96)*CrossFire!$F$11:$F$26)),0)</f>
        <v>0</v>
      </c>
      <c r="U96" s="130" t="n">
        <f aca="false">IFERROR(SUMPRODUCT(MAX(('Free Fire'!$M$11:$M$34=$B96)*'Free Fire'!$G$11:$G$34)),0)</f>
        <v>0</v>
      </c>
      <c r="V96" s="130" t="n">
        <f aca="false">IFERROR(SUMPRODUCT(MAX(('EA FC 26'!$N$11:$N$46=$B96)*'EA FC 26'!$H$11:$H$46)),0)</f>
        <v>0</v>
      </c>
      <c r="W96" s="130" t="n">
        <f aca="false">IFERROR(SUMPRODUCT(MAX(('Black Ops 7'!$O$11:$O$26=$B96)*'Black Ops 7'!$J$11:$J$26)),0)</f>
        <v>0</v>
      </c>
      <c r="X96" s="130" t="n">
        <f aca="false">IFERROR(SUMPRODUCT(MAX(('Rocket League'!$P$11:$P$26=$B96)*'Rocket League'!$J$11:$J$26)),0)</f>
        <v>0</v>
      </c>
      <c r="Y96" s="130" t="n">
        <f aca="false">IFERROR(SUMPRODUCT(MAX(('Overwatch 2'!$L$11:$L$26=$B96)*'Overwatch 2'!$F$11:$F$26)),0)</f>
        <v>0</v>
      </c>
      <c r="Z96" s="130" t="n">
        <f aca="false">IFERROR(SUMPRODUCT(MAX((PUBG!$L$11:$L$34=$B96)*PUBG!$F$11:$F$34)),0)</f>
        <v>0</v>
      </c>
      <c r="AA96" s="130" t="n">
        <f aca="false">IFERROR(SUMPRODUCT(MAX(('MLBB Women'!$L$11:$L$26=$B96)*'MLBB Women'!$F$11:$F$26)),0)</f>
        <v>0</v>
      </c>
      <c r="AB96" s="130" t="n">
        <f aca="false">SUM(C96:AA96)</f>
        <v>0</v>
      </c>
      <c r="AC96" s="130"/>
      <c r="AD96" s="200" t="n">
        <f aca="false">AB96-AC96</f>
        <v>0</v>
      </c>
      <c r="AE96" s="82" t="str">
        <f aca="false">IF(AB96=0,"not started",IF(AD96=0,"reconciled",IF(AD96&gt;0,"CHECK NAMES","in progress")))</f>
        <v>not started</v>
      </c>
    </row>
    <row r="97" customFormat="false" ht="15" hidden="false" customHeight="true" outlineLevel="0" collapsed="false">
      <c r="B97" s="92" t="s">
        <v>239</v>
      </c>
      <c r="C97" s="130" t="n">
        <f aca="false">IFERROR(SUMIF(CS2!$L$11:$L$42,$B97,CS2!$F$11:$F$42),0)</f>
        <v>0</v>
      </c>
      <c r="D97" s="130" t="n">
        <f aca="false">IFERROR(SUMPRODUCT(MAX((Chess!$L$11:$L$32=$B97)*Chess!$F$11:$F$32)),0)</f>
        <v>0</v>
      </c>
      <c r="E97" s="130" t="n">
        <f aca="false">IFERROR(SUMPRODUCT(MAX((LoL!$L$11:$L$26=$B97)*LoL!$F$11:$F$26)),0)</f>
        <v>0</v>
      </c>
      <c r="F97" s="130" t="n">
        <f aca="false">IFERROR(SUMPRODUCT(MAX(('PUBG Mobile'!$L$11:$L$42=$B97)*'PUBG Mobile'!$F$11:$F$42)),0)</f>
        <v>0</v>
      </c>
      <c r="G97" s="130" t="n">
        <f aca="false">IFERROR(SUMPRODUCT(MAX(('Fortnite Reload'!$L$11:$L$50=$B97)*'Fortnite Reload'!$F$11:$F$50)),0)</f>
        <v>0</v>
      </c>
      <c r="H97" s="130" t="n">
        <f aca="false">IFERROR(SUMPRODUCT(MAX((Trackmania!$M$11:$M$42=$B97)*Trackmania!$G$11:$G$42)),0)</f>
        <v>0</v>
      </c>
      <c r="I97" s="130" t="n">
        <f aca="false">IFERROR(SUMPRODUCT(MAX(('Dota 2'!$N$11:$N$34=$B97)*'Dota 2'!$H$11:$H$34)),0)</f>
        <v>0</v>
      </c>
      <c r="J97" s="130" t="n">
        <f aca="false">IFERROR(SUMPRODUCT(MAX(('Tekken 8'!$N$11:$N$42=$B97)*'Tekken 8'!$H$11:$H$42)),0)</f>
        <v>0</v>
      </c>
      <c r="K97" s="130" t="n">
        <f aca="false">IFERROR(SUMPRODUCT(MAX(('Street Fighter 6'!$O$11:$O$42=$B97)*'Street Fighter 6'!$I$11:$I$42)),0)</f>
        <v>0</v>
      </c>
      <c r="L97" s="130" t="n">
        <f aca="false">IFERROR(SUMPRODUCT(MAX(('Fatal Fury CotW'!$L$11:$L$42=$B97)*'Fatal Fury CotW'!$F$11:$F$42)),0)</f>
        <v>0</v>
      </c>
      <c r="M97" s="130" t="n">
        <f aca="false">IFERROR(SUMPRODUCT(MAX((TFT!$N$11:$N$26=$B97)*TFT!$H$11:$H$26)),0)</f>
        <v>0</v>
      </c>
      <c r="N97" s="130" t="n">
        <f aca="false">IFERROR(SUMPRODUCT(MAX(('Rainbow Six'!$P$11:$P$32=$B97)*'Rainbow Six'!$J$11:$J$32)),0)</f>
        <v>0</v>
      </c>
      <c r="O97" s="130" t="n">
        <f aca="false">IFERROR(SUMPRODUCT(MAX((Warzone!$M$11:$M$42=$B97)*Warzone!$G$11:$G$42)),0)</f>
        <v>0</v>
      </c>
      <c r="P97" s="130" t="n">
        <f aca="false">IFERROR(SUMPRODUCT(MAX((Valorant!$N$11:$N$26=$B97)*Valorant!$H$11:$H$26)),0)</f>
        <v>0</v>
      </c>
      <c r="Q97" s="130" t="n">
        <f aca="false">IFERROR(SUMPRODUCT(MAX(('MLBB (MSC)'!$M$11:$M$35=$B97)*'MLBB (MSC)'!$G$11:$G$35)),0)</f>
        <v>0</v>
      </c>
      <c r="R97" s="130" t="n">
        <f aca="false">IFERROR(SUMPRODUCT(MAX(('Apex Legends'!$O$11:$O$50=$B97)*'Apex Legends'!$I$11:$I$50)),0)</f>
        <v>0</v>
      </c>
      <c r="S97" s="130" t="n">
        <f aca="false">IFERROR(SUMPRODUCT(MAX(('Honor of Kings'!$N$11:$N$30=$B97)*'Honor of Kings'!$H$11:$H$30)),0)</f>
        <v>0</v>
      </c>
      <c r="T97" s="130" t="n">
        <f aca="false">IFERROR(SUMPRODUCT(MAX((CrossFire!$L$11:$L$26=$B97)*CrossFire!$F$11:$F$26)),0)</f>
        <v>0</v>
      </c>
      <c r="U97" s="130" t="n">
        <f aca="false">IFERROR(SUMPRODUCT(MAX(('Free Fire'!$M$11:$M$34=$B97)*'Free Fire'!$G$11:$G$34)),0)</f>
        <v>0</v>
      </c>
      <c r="V97" s="130" t="n">
        <f aca="false">IFERROR(SUMPRODUCT(MAX(('EA FC 26'!$N$11:$N$46=$B97)*'EA FC 26'!$H$11:$H$46)),0)</f>
        <v>0</v>
      </c>
      <c r="W97" s="130" t="n">
        <f aca="false">IFERROR(SUMPRODUCT(MAX(('Black Ops 7'!$O$11:$O$26=$B97)*'Black Ops 7'!$J$11:$J$26)),0)</f>
        <v>0</v>
      </c>
      <c r="X97" s="130" t="n">
        <f aca="false">IFERROR(SUMPRODUCT(MAX(('Rocket League'!$P$11:$P$26=$B97)*'Rocket League'!$J$11:$J$26)),0)</f>
        <v>0</v>
      </c>
      <c r="Y97" s="130" t="n">
        <f aca="false">IFERROR(SUMPRODUCT(MAX(('Overwatch 2'!$L$11:$L$26=$B97)*'Overwatch 2'!$F$11:$F$26)),0)</f>
        <v>0</v>
      </c>
      <c r="Z97" s="130" t="n">
        <f aca="false">IFERROR(SUMPRODUCT(MAX((PUBG!$L$11:$L$34=$B97)*PUBG!$F$11:$F$34)),0)</f>
        <v>0</v>
      </c>
      <c r="AA97" s="130" t="n">
        <f aca="false">IFERROR(SUMPRODUCT(MAX(('MLBB Women'!$L$11:$L$26=$B97)*'MLBB Women'!$F$11:$F$26)),0)</f>
        <v>0</v>
      </c>
      <c r="AB97" s="130" t="n">
        <f aca="false">SUM(C97:AA97)</f>
        <v>0</v>
      </c>
      <c r="AC97" s="130"/>
      <c r="AD97" s="200" t="n">
        <f aca="false">AB97-AC97</f>
        <v>0</v>
      </c>
      <c r="AE97" s="82" t="str">
        <f aca="false">IF(AB97=0,"not started",IF(AD97=0,"reconciled",IF(AD97&gt;0,"CHECK NAMES","in progress")))</f>
        <v>not started</v>
      </c>
    </row>
    <row r="98" customFormat="false" ht="15" hidden="false" customHeight="true" outlineLevel="0" collapsed="false">
      <c r="B98" s="92" t="s">
        <v>350</v>
      </c>
      <c r="C98" s="130" t="n">
        <f aca="false">IFERROR(SUMIF(CS2!$L$11:$L$42,$B98,CS2!$F$11:$F$42),0)</f>
        <v>0</v>
      </c>
      <c r="D98" s="130" t="n">
        <f aca="false">IFERROR(SUMPRODUCT(MAX((Chess!$L$11:$L$32=$B98)*Chess!$F$11:$F$32)),0)</f>
        <v>0</v>
      </c>
      <c r="E98" s="130" t="n">
        <f aca="false">IFERROR(SUMPRODUCT(MAX((LoL!$L$11:$L$26=$B98)*LoL!$F$11:$F$26)),0)</f>
        <v>0</v>
      </c>
      <c r="F98" s="130" t="n">
        <f aca="false">IFERROR(SUMPRODUCT(MAX(('PUBG Mobile'!$L$11:$L$42=$B98)*'PUBG Mobile'!$F$11:$F$42)),0)</f>
        <v>0</v>
      </c>
      <c r="G98" s="130" t="n">
        <f aca="false">IFERROR(SUMPRODUCT(MAX(('Fortnite Reload'!$L$11:$L$50=$B98)*'Fortnite Reload'!$F$11:$F$50)),0)</f>
        <v>0</v>
      </c>
      <c r="H98" s="130" t="n">
        <f aca="false">IFERROR(SUMPRODUCT(MAX((Trackmania!$M$11:$M$42=$B98)*Trackmania!$G$11:$G$42)),0)</f>
        <v>0</v>
      </c>
      <c r="I98" s="130" t="n">
        <f aca="false">IFERROR(SUMPRODUCT(MAX(('Dota 2'!$N$11:$N$34=$B98)*'Dota 2'!$H$11:$H$34)),0)</f>
        <v>0</v>
      </c>
      <c r="J98" s="130" t="n">
        <f aca="false">IFERROR(SUMPRODUCT(MAX(('Tekken 8'!$N$11:$N$42=$B98)*'Tekken 8'!$H$11:$H$42)),0)</f>
        <v>0</v>
      </c>
      <c r="K98" s="130" t="n">
        <f aca="false">IFERROR(SUMPRODUCT(MAX(('Street Fighter 6'!$O$11:$O$42=$B98)*'Street Fighter 6'!$I$11:$I$42)),0)</f>
        <v>0</v>
      </c>
      <c r="L98" s="130" t="n">
        <f aca="false">IFERROR(SUMPRODUCT(MAX(('Fatal Fury CotW'!$L$11:$L$42=$B98)*'Fatal Fury CotW'!$F$11:$F$42)),0)</f>
        <v>0</v>
      </c>
      <c r="M98" s="130" t="n">
        <f aca="false">IFERROR(SUMPRODUCT(MAX((TFT!$N$11:$N$26=$B98)*TFT!$H$11:$H$26)),0)</f>
        <v>0</v>
      </c>
      <c r="N98" s="130" t="n">
        <f aca="false">IFERROR(SUMPRODUCT(MAX(('Rainbow Six'!$P$11:$P$32=$B98)*'Rainbow Six'!$J$11:$J$32)),0)</f>
        <v>0</v>
      </c>
      <c r="O98" s="130" t="n">
        <f aca="false">IFERROR(SUMPRODUCT(MAX((Warzone!$M$11:$M$42=$B98)*Warzone!$G$11:$G$42)),0)</f>
        <v>0</v>
      </c>
      <c r="P98" s="130" t="n">
        <f aca="false">IFERROR(SUMPRODUCT(MAX((Valorant!$N$11:$N$26=$B98)*Valorant!$H$11:$H$26)),0)</f>
        <v>0</v>
      </c>
      <c r="Q98" s="130" t="n">
        <f aca="false">IFERROR(SUMPRODUCT(MAX(('MLBB (MSC)'!$M$11:$M$35=$B98)*'MLBB (MSC)'!$G$11:$G$35)),0)</f>
        <v>0</v>
      </c>
      <c r="R98" s="130" t="n">
        <f aca="false">IFERROR(SUMPRODUCT(MAX(('Apex Legends'!$O$11:$O$50=$B98)*'Apex Legends'!$I$11:$I$50)),0)</f>
        <v>0</v>
      </c>
      <c r="S98" s="130" t="n">
        <f aca="false">IFERROR(SUMPRODUCT(MAX(('Honor of Kings'!$N$11:$N$30=$B98)*'Honor of Kings'!$H$11:$H$30)),0)</f>
        <v>0</v>
      </c>
      <c r="T98" s="130" t="n">
        <f aca="false">IFERROR(SUMPRODUCT(MAX((CrossFire!$L$11:$L$26=$B98)*CrossFire!$F$11:$F$26)),0)</f>
        <v>0</v>
      </c>
      <c r="U98" s="130" t="n">
        <f aca="false">IFERROR(SUMPRODUCT(MAX(('Free Fire'!$M$11:$M$34=$B98)*'Free Fire'!$G$11:$G$34)),0)</f>
        <v>0</v>
      </c>
      <c r="V98" s="130" t="n">
        <f aca="false">IFERROR(SUMPRODUCT(MAX(('EA FC 26'!$N$11:$N$46=$B98)*'EA FC 26'!$H$11:$H$46)),0)</f>
        <v>0</v>
      </c>
      <c r="W98" s="130" t="n">
        <f aca="false">IFERROR(SUMPRODUCT(MAX(('Black Ops 7'!$O$11:$O$26=$B98)*'Black Ops 7'!$J$11:$J$26)),0)</f>
        <v>0</v>
      </c>
      <c r="X98" s="130" t="n">
        <f aca="false">IFERROR(SUMPRODUCT(MAX(('Rocket League'!$P$11:$P$26=$B98)*'Rocket League'!$J$11:$J$26)),0)</f>
        <v>0</v>
      </c>
      <c r="Y98" s="130" t="n">
        <f aca="false">IFERROR(SUMPRODUCT(MAX(('Overwatch 2'!$L$11:$L$26=$B98)*'Overwatch 2'!$F$11:$F$26)),0)</f>
        <v>0</v>
      </c>
      <c r="Z98" s="130" t="n">
        <f aca="false">IFERROR(SUMPRODUCT(MAX((PUBG!$L$11:$L$34=$B98)*PUBG!$F$11:$F$34)),0)</f>
        <v>0</v>
      </c>
      <c r="AA98" s="130" t="n">
        <f aca="false">IFERROR(SUMPRODUCT(MAX(('MLBB Women'!$L$11:$L$26=$B98)*'MLBB Women'!$F$11:$F$26)),0)</f>
        <v>0</v>
      </c>
      <c r="AB98" s="130" t="n">
        <f aca="false">SUM(C98:AA98)</f>
        <v>0</v>
      </c>
      <c r="AC98" s="130"/>
      <c r="AD98" s="200" t="n">
        <f aca="false">AB98-AC98</f>
        <v>0</v>
      </c>
      <c r="AE98" s="82" t="str">
        <f aca="false">IF(AB98=0,"not started",IF(AD98=0,"reconciled",IF(AD98&gt;0,"CHECK NAMES","in progress")))</f>
        <v>not started</v>
      </c>
    </row>
    <row r="99" customFormat="false" ht="15" hidden="false" customHeight="true" outlineLevel="0" collapsed="false">
      <c r="B99" s="92" t="s">
        <v>243</v>
      </c>
      <c r="C99" s="130" t="n">
        <f aca="false">IFERROR(SUMIF(CS2!$L$11:$L$42,$B99,CS2!$F$11:$F$42),0)</f>
        <v>0</v>
      </c>
      <c r="D99" s="130" t="n">
        <f aca="false">IFERROR(SUMPRODUCT(MAX((Chess!$L$11:$L$32=$B99)*Chess!$F$11:$F$32)),0)</f>
        <v>0</v>
      </c>
      <c r="E99" s="130" t="n">
        <f aca="false">IFERROR(SUMPRODUCT(MAX((LoL!$L$11:$L$26=$B99)*LoL!$F$11:$F$26)),0)</f>
        <v>0</v>
      </c>
      <c r="F99" s="130" t="n">
        <f aca="false">IFERROR(SUMPRODUCT(MAX(('PUBG Mobile'!$L$11:$L$42=$B99)*'PUBG Mobile'!$F$11:$F$42)),0)</f>
        <v>0</v>
      </c>
      <c r="G99" s="130" t="n">
        <f aca="false">IFERROR(SUMPRODUCT(MAX(('Fortnite Reload'!$L$11:$L$50=$B99)*'Fortnite Reload'!$F$11:$F$50)),0)</f>
        <v>0</v>
      </c>
      <c r="H99" s="130" t="n">
        <f aca="false">IFERROR(SUMPRODUCT(MAX((Trackmania!$M$11:$M$42=$B99)*Trackmania!$G$11:$G$42)),0)</f>
        <v>0</v>
      </c>
      <c r="I99" s="130" t="n">
        <f aca="false">IFERROR(SUMPRODUCT(MAX(('Dota 2'!$N$11:$N$34=$B99)*'Dota 2'!$H$11:$H$34)),0)</f>
        <v>0</v>
      </c>
      <c r="J99" s="130" t="n">
        <f aca="false">IFERROR(SUMPRODUCT(MAX(('Tekken 8'!$N$11:$N$42=$B99)*'Tekken 8'!$H$11:$H$42)),0)</f>
        <v>0</v>
      </c>
      <c r="K99" s="130" t="n">
        <f aca="false">IFERROR(SUMPRODUCT(MAX(('Street Fighter 6'!$O$11:$O$42=$B99)*'Street Fighter 6'!$I$11:$I$42)),0)</f>
        <v>0</v>
      </c>
      <c r="L99" s="130" t="n">
        <f aca="false">IFERROR(SUMPRODUCT(MAX(('Fatal Fury CotW'!$L$11:$L$42=$B99)*'Fatal Fury CotW'!$F$11:$F$42)),0)</f>
        <v>0</v>
      </c>
      <c r="M99" s="130" t="n">
        <f aca="false">IFERROR(SUMPRODUCT(MAX((TFT!$N$11:$N$26=$B99)*TFT!$H$11:$H$26)),0)</f>
        <v>0</v>
      </c>
      <c r="N99" s="130" t="n">
        <f aca="false">IFERROR(SUMPRODUCT(MAX(('Rainbow Six'!$P$11:$P$32=$B99)*'Rainbow Six'!$J$11:$J$32)),0)</f>
        <v>0</v>
      </c>
      <c r="O99" s="130" t="n">
        <f aca="false">IFERROR(SUMPRODUCT(MAX((Warzone!$M$11:$M$42=$B99)*Warzone!$G$11:$G$42)),0)</f>
        <v>0</v>
      </c>
      <c r="P99" s="130" t="n">
        <f aca="false">IFERROR(SUMPRODUCT(MAX((Valorant!$N$11:$N$26=$B99)*Valorant!$H$11:$H$26)),0)</f>
        <v>0</v>
      </c>
      <c r="Q99" s="130" t="n">
        <f aca="false">IFERROR(SUMPRODUCT(MAX(('MLBB (MSC)'!$M$11:$M$35=$B99)*'MLBB (MSC)'!$G$11:$G$35)),0)</f>
        <v>0</v>
      </c>
      <c r="R99" s="130" t="n">
        <f aca="false">IFERROR(SUMPRODUCT(MAX(('Apex Legends'!$O$11:$O$50=$B99)*'Apex Legends'!$I$11:$I$50)),0)</f>
        <v>0</v>
      </c>
      <c r="S99" s="130" t="n">
        <f aca="false">IFERROR(SUMPRODUCT(MAX(('Honor of Kings'!$N$11:$N$30=$B99)*'Honor of Kings'!$H$11:$H$30)),0)</f>
        <v>0</v>
      </c>
      <c r="T99" s="130" t="n">
        <f aca="false">IFERROR(SUMPRODUCT(MAX((CrossFire!$L$11:$L$26=$B99)*CrossFire!$F$11:$F$26)),0)</f>
        <v>0</v>
      </c>
      <c r="U99" s="130" t="n">
        <f aca="false">IFERROR(SUMPRODUCT(MAX(('Free Fire'!$M$11:$M$34=$B99)*'Free Fire'!$G$11:$G$34)),0)</f>
        <v>0</v>
      </c>
      <c r="V99" s="130" t="n">
        <f aca="false">IFERROR(SUMPRODUCT(MAX(('EA FC 26'!$N$11:$N$46=$B99)*'EA FC 26'!$H$11:$H$46)),0)</f>
        <v>0</v>
      </c>
      <c r="W99" s="130" t="n">
        <f aca="false">IFERROR(SUMPRODUCT(MAX(('Black Ops 7'!$O$11:$O$26=$B99)*'Black Ops 7'!$J$11:$J$26)),0)</f>
        <v>0</v>
      </c>
      <c r="X99" s="130" t="n">
        <f aca="false">IFERROR(SUMPRODUCT(MAX(('Rocket League'!$P$11:$P$26=$B99)*'Rocket League'!$J$11:$J$26)),0)</f>
        <v>0</v>
      </c>
      <c r="Y99" s="130" t="n">
        <f aca="false">IFERROR(SUMPRODUCT(MAX(('Overwatch 2'!$L$11:$L$26=$B99)*'Overwatch 2'!$F$11:$F$26)),0)</f>
        <v>0</v>
      </c>
      <c r="Z99" s="130" t="n">
        <f aca="false">IFERROR(SUMPRODUCT(MAX((PUBG!$L$11:$L$34=$B99)*PUBG!$F$11:$F$34)),0)</f>
        <v>0</v>
      </c>
      <c r="AA99" s="130" t="n">
        <f aca="false">IFERROR(SUMPRODUCT(MAX(('MLBB Women'!$L$11:$L$26=$B99)*'MLBB Women'!$F$11:$F$26)),0)</f>
        <v>0</v>
      </c>
      <c r="AB99" s="130" t="n">
        <f aca="false">SUM(C99:AA99)</f>
        <v>0</v>
      </c>
      <c r="AC99" s="130"/>
      <c r="AD99" s="200" t="n">
        <f aca="false">AB99-AC99</f>
        <v>0</v>
      </c>
      <c r="AE99" s="82" t="str">
        <f aca="false">IF(AB99=0,"not started",IF(AD99=0,"reconciled",IF(AD99&gt;0,"CHECK NAMES","in progress")))</f>
        <v>not started</v>
      </c>
    </row>
    <row r="100" customFormat="false" ht="15" hidden="false" customHeight="true" outlineLevel="0" collapsed="false">
      <c r="B100" s="92" t="s">
        <v>279</v>
      </c>
      <c r="C100" s="130" t="n">
        <f aca="false">IFERROR(SUMIF(CS2!$L$11:$L$42,$B100,CS2!$F$11:$F$42),0)</f>
        <v>0</v>
      </c>
      <c r="D100" s="130" t="n">
        <f aca="false">IFERROR(SUMPRODUCT(MAX((Chess!$L$11:$L$32=$B100)*Chess!$F$11:$F$32)),0)</f>
        <v>0</v>
      </c>
      <c r="E100" s="130" t="n">
        <f aca="false">IFERROR(SUMPRODUCT(MAX((LoL!$L$11:$L$26=$B100)*LoL!$F$11:$F$26)),0)</f>
        <v>0</v>
      </c>
      <c r="F100" s="130" t="n">
        <f aca="false">IFERROR(SUMPRODUCT(MAX(('PUBG Mobile'!$L$11:$L$42=$B100)*'PUBG Mobile'!$F$11:$F$42)),0)</f>
        <v>0</v>
      </c>
      <c r="G100" s="130" t="n">
        <f aca="false">IFERROR(SUMPRODUCT(MAX(('Fortnite Reload'!$L$11:$L$50=$B100)*'Fortnite Reload'!$F$11:$F$50)),0)</f>
        <v>0</v>
      </c>
      <c r="H100" s="130" t="n">
        <f aca="false">IFERROR(SUMPRODUCT(MAX((Trackmania!$M$11:$M$42=$B100)*Trackmania!$G$11:$G$42)),0)</f>
        <v>0</v>
      </c>
      <c r="I100" s="130" t="n">
        <f aca="false">IFERROR(SUMPRODUCT(MAX(('Dota 2'!$N$11:$N$34=$B100)*'Dota 2'!$H$11:$H$34)),0)</f>
        <v>0</v>
      </c>
      <c r="J100" s="130" t="n">
        <f aca="false">IFERROR(SUMPRODUCT(MAX(('Tekken 8'!$N$11:$N$42=$B100)*'Tekken 8'!$H$11:$H$42)),0)</f>
        <v>0</v>
      </c>
      <c r="K100" s="130" t="n">
        <f aca="false">IFERROR(SUMPRODUCT(MAX(('Street Fighter 6'!$O$11:$O$42=$B100)*'Street Fighter 6'!$I$11:$I$42)),0)</f>
        <v>0</v>
      </c>
      <c r="L100" s="130" t="n">
        <f aca="false">IFERROR(SUMPRODUCT(MAX(('Fatal Fury CotW'!$L$11:$L$42=$B100)*'Fatal Fury CotW'!$F$11:$F$42)),0)</f>
        <v>0</v>
      </c>
      <c r="M100" s="130" t="n">
        <f aca="false">IFERROR(SUMPRODUCT(MAX((TFT!$N$11:$N$26=$B100)*TFT!$H$11:$H$26)),0)</f>
        <v>0</v>
      </c>
      <c r="N100" s="130" t="n">
        <f aca="false">IFERROR(SUMPRODUCT(MAX(('Rainbow Six'!$P$11:$P$32=$B100)*'Rainbow Six'!$J$11:$J$32)),0)</f>
        <v>0</v>
      </c>
      <c r="O100" s="130" t="n">
        <f aca="false">IFERROR(SUMPRODUCT(MAX((Warzone!$M$11:$M$42=$B100)*Warzone!$G$11:$G$42)),0)</f>
        <v>0</v>
      </c>
      <c r="P100" s="130" t="n">
        <f aca="false">IFERROR(SUMPRODUCT(MAX((Valorant!$N$11:$N$26=$B100)*Valorant!$H$11:$H$26)),0)</f>
        <v>0</v>
      </c>
      <c r="Q100" s="130" t="n">
        <f aca="false">IFERROR(SUMPRODUCT(MAX(('MLBB (MSC)'!$M$11:$M$35=$B100)*'MLBB (MSC)'!$G$11:$G$35)),0)</f>
        <v>0</v>
      </c>
      <c r="R100" s="130" t="n">
        <f aca="false">IFERROR(SUMPRODUCT(MAX(('Apex Legends'!$O$11:$O$50=$B100)*'Apex Legends'!$I$11:$I$50)),0)</f>
        <v>0</v>
      </c>
      <c r="S100" s="130" t="n">
        <f aca="false">IFERROR(SUMPRODUCT(MAX(('Honor of Kings'!$N$11:$N$30=$B100)*'Honor of Kings'!$H$11:$H$30)),0)</f>
        <v>0</v>
      </c>
      <c r="T100" s="130" t="n">
        <f aca="false">IFERROR(SUMPRODUCT(MAX((CrossFire!$L$11:$L$26=$B100)*CrossFire!$F$11:$F$26)),0)</f>
        <v>0</v>
      </c>
      <c r="U100" s="130" t="n">
        <f aca="false">IFERROR(SUMPRODUCT(MAX(('Free Fire'!$M$11:$M$34=$B100)*'Free Fire'!$G$11:$G$34)),0)</f>
        <v>0</v>
      </c>
      <c r="V100" s="130" t="n">
        <f aca="false">IFERROR(SUMPRODUCT(MAX(('EA FC 26'!$N$11:$N$46=$B100)*'EA FC 26'!$H$11:$H$46)),0)</f>
        <v>0</v>
      </c>
      <c r="W100" s="130" t="n">
        <f aca="false">IFERROR(SUMPRODUCT(MAX(('Black Ops 7'!$O$11:$O$26=$B100)*'Black Ops 7'!$J$11:$J$26)),0)</f>
        <v>0</v>
      </c>
      <c r="X100" s="130" t="n">
        <f aca="false">IFERROR(SUMPRODUCT(MAX(('Rocket League'!$P$11:$P$26=$B100)*'Rocket League'!$J$11:$J$26)),0)</f>
        <v>0</v>
      </c>
      <c r="Y100" s="130" t="n">
        <f aca="false">IFERROR(SUMPRODUCT(MAX(('Overwatch 2'!$L$11:$L$26=$B100)*'Overwatch 2'!$F$11:$F$26)),0)</f>
        <v>0</v>
      </c>
      <c r="Z100" s="130" t="n">
        <f aca="false">IFERROR(SUMPRODUCT(MAX((PUBG!$L$11:$L$34=$B100)*PUBG!$F$11:$F$34)),0)</f>
        <v>0</v>
      </c>
      <c r="AA100" s="130" t="n">
        <f aca="false">IFERROR(SUMPRODUCT(MAX(('MLBB Women'!$L$11:$L$26=$B100)*'MLBB Women'!$F$11:$F$26)),0)</f>
        <v>0</v>
      </c>
      <c r="AB100" s="130" t="n">
        <f aca="false">SUM(C100:AA100)</f>
        <v>0</v>
      </c>
      <c r="AC100" s="130"/>
      <c r="AD100" s="200" t="n">
        <f aca="false">AB100-AC100</f>
        <v>0</v>
      </c>
      <c r="AE100" s="82" t="str">
        <f aca="false">IF(AB100=0,"not started",IF(AD100=0,"reconciled",IF(AD100&gt;0,"CHECK NAMES","in progress")))</f>
        <v>not started</v>
      </c>
    </row>
    <row r="101" customFormat="false" ht="15" hidden="false" customHeight="true" outlineLevel="0" collapsed="false">
      <c r="B101" s="92" t="s">
        <v>352</v>
      </c>
      <c r="C101" s="130" t="n">
        <f aca="false">IFERROR(SUMIF(CS2!$L$11:$L$42,$B101,CS2!$F$11:$F$42),0)</f>
        <v>0</v>
      </c>
      <c r="D101" s="130" t="n">
        <f aca="false">IFERROR(SUMPRODUCT(MAX((Chess!$L$11:$L$32=$B101)*Chess!$F$11:$F$32)),0)</f>
        <v>0</v>
      </c>
      <c r="E101" s="130" t="n">
        <f aca="false">IFERROR(SUMPRODUCT(MAX((LoL!$L$11:$L$26=$B101)*LoL!$F$11:$F$26)),0)</f>
        <v>0</v>
      </c>
      <c r="F101" s="130" t="n">
        <f aca="false">IFERROR(SUMPRODUCT(MAX(('PUBG Mobile'!$L$11:$L$42=$B101)*'PUBG Mobile'!$F$11:$F$42)),0)</f>
        <v>0</v>
      </c>
      <c r="G101" s="130" t="n">
        <f aca="false">IFERROR(SUMPRODUCT(MAX(('Fortnite Reload'!$L$11:$L$50=$B101)*'Fortnite Reload'!$F$11:$F$50)),0)</f>
        <v>0</v>
      </c>
      <c r="H101" s="130" t="n">
        <f aca="false">IFERROR(SUMPRODUCT(MAX((Trackmania!$M$11:$M$42=$B101)*Trackmania!$G$11:$G$42)),0)</f>
        <v>0</v>
      </c>
      <c r="I101" s="130" t="n">
        <f aca="false">IFERROR(SUMPRODUCT(MAX(('Dota 2'!$N$11:$N$34=$B101)*'Dota 2'!$H$11:$H$34)),0)</f>
        <v>0</v>
      </c>
      <c r="J101" s="130" t="n">
        <f aca="false">IFERROR(SUMPRODUCT(MAX(('Tekken 8'!$N$11:$N$42=$B101)*'Tekken 8'!$H$11:$H$42)),0)</f>
        <v>0</v>
      </c>
      <c r="K101" s="130" t="n">
        <f aca="false">IFERROR(SUMPRODUCT(MAX(('Street Fighter 6'!$O$11:$O$42=$B101)*'Street Fighter 6'!$I$11:$I$42)),0)</f>
        <v>0</v>
      </c>
      <c r="L101" s="130" t="n">
        <f aca="false">IFERROR(SUMPRODUCT(MAX(('Fatal Fury CotW'!$L$11:$L$42=$B101)*'Fatal Fury CotW'!$F$11:$F$42)),0)</f>
        <v>0</v>
      </c>
      <c r="M101" s="130" t="n">
        <f aca="false">IFERROR(SUMPRODUCT(MAX((TFT!$N$11:$N$26=$B101)*TFT!$H$11:$H$26)),0)</f>
        <v>0</v>
      </c>
      <c r="N101" s="130" t="n">
        <f aca="false">IFERROR(SUMPRODUCT(MAX(('Rainbow Six'!$P$11:$P$32=$B101)*'Rainbow Six'!$J$11:$J$32)),0)</f>
        <v>0</v>
      </c>
      <c r="O101" s="130" t="n">
        <f aca="false">IFERROR(SUMPRODUCT(MAX((Warzone!$M$11:$M$42=$B101)*Warzone!$G$11:$G$42)),0)</f>
        <v>0</v>
      </c>
      <c r="P101" s="130" t="n">
        <f aca="false">IFERROR(SUMPRODUCT(MAX((Valorant!$N$11:$N$26=$B101)*Valorant!$H$11:$H$26)),0)</f>
        <v>0</v>
      </c>
      <c r="Q101" s="130" t="n">
        <f aca="false">IFERROR(SUMPRODUCT(MAX(('MLBB (MSC)'!$M$11:$M$35=$B101)*'MLBB (MSC)'!$G$11:$G$35)),0)</f>
        <v>0</v>
      </c>
      <c r="R101" s="130" t="n">
        <f aca="false">IFERROR(SUMPRODUCT(MAX(('Apex Legends'!$O$11:$O$50=$B101)*'Apex Legends'!$I$11:$I$50)),0)</f>
        <v>0</v>
      </c>
      <c r="S101" s="130" t="n">
        <f aca="false">IFERROR(SUMPRODUCT(MAX(('Honor of Kings'!$N$11:$N$30=$B101)*'Honor of Kings'!$H$11:$H$30)),0)</f>
        <v>0</v>
      </c>
      <c r="T101" s="130" t="n">
        <f aca="false">IFERROR(SUMPRODUCT(MAX((CrossFire!$L$11:$L$26=$B101)*CrossFire!$F$11:$F$26)),0)</f>
        <v>0</v>
      </c>
      <c r="U101" s="130" t="n">
        <f aca="false">IFERROR(SUMPRODUCT(MAX(('Free Fire'!$M$11:$M$34=$B101)*'Free Fire'!$G$11:$G$34)),0)</f>
        <v>0</v>
      </c>
      <c r="V101" s="130" t="n">
        <f aca="false">IFERROR(SUMPRODUCT(MAX(('EA FC 26'!$N$11:$N$46=$B101)*'EA FC 26'!$H$11:$H$46)),0)</f>
        <v>0</v>
      </c>
      <c r="W101" s="130" t="n">
        <f aca="false">IFERROR(SUMPRODUCT(MAX(('Black Ops 7'!$O$11:$O$26=$B101)*'Black Ops 7'!$J$11:$J$26)),0)</f>
        <v>0</v>
      </c>
      <c r="X101" s="130" t="n">
        <f aca="false">IFERROR(SUMPRODUCT(MAX(('Rocket League'!$P$11:$P$26=$B101)*'Rocket League'!$J$11:$J$26)),0)</f>
        <v>0</v>
      </c>
      <c r="Y101" s="130" t="n">
        <f aca="false">IFERROR(SUMPRODUCT(MAX(('Overwatch 2'!$L$11:$L$26=$B101)*'Overwatch 2'!$F$11:$F$26)),0)</f>
        <v>0</v>
      </c>
      <c r="Z101" s="130" t="n">
        <f aca="false">IFERROR(SUMPRODUCT(MAX((PUBG!$L$11:$L$34=$B101)*PUBG!$F$11:$F$34)),0)</f>
        <v>0</v>
      </c>
      <c r="AA101" s="130" t="n">
        <f aca="false">IFERROR(SUMPRODUCT(MAX(('MLBB Women'!$L$11:$L$26=$B101)*'MLBB Women'!$F$11:$F$26)),0)</f>
        <v>0</v>
      </c>
      <c r="AB101" s="130" t="n">
        <f aca="false">SUM(C101:AA101)</f>
        <v>0</v>
      </c>
      <c r="AC101" s="130"/>
      <c r="AD101" s="200" t="n">
        <f aca="false">AB101-AC101</f>
        <v>0</v>
      </c>
      <c r="AE101" s="82" t="str">
        <f aca="false">IF(AB101=0,"not started",IF(AD101=0,"reconciled",IF(AD101&gt;0,"CHECK NAMES","in progress")))</f>
        <v>not started</v>
      </c>
    </row>
    <row r="102" customFormat="false" ht="15" hidden="false" customHeight="true" outlineLevel="0" collapsed="false">
      <c r="B102" s="92" t="s">
        <v>354</v>
      </c>
      <c r="C102" s="130" t="n">
        <f aca="false">IFERROR(SUMIF(CS2!$L$11:$L$42,$B102,CS2!$F$11:$F$42),0)</f>
        <v>0</v>
      </c>
      <c r="D102" s="130" t="n">
        <f aca="false">IFERROR(SUMPRODUCT(MAX((Chess!$L$11:$L$32=$B102)*Chess!$F$11:$F$32)),0)</f>
        <v>0</v>
      </c>
      <c r="E102" s="130" t="n">
        <f aca="false">IFERROR(SUMPRODUCT(MAX((LoL!$L$11:$L$26=$B102)*LoL!$F$11:$F$26)),0)</f>
        <v>0</v>
      </c>
      <c r="F102" s="130" t="n">
        <f aca="false">IFERROR(SUMPRODUCT(MAX(('PUBG Mobile'!$L$11:$L$42=$B102)*'PUBG Mobile'!$F$11:$F$42)),0)</f>
        <v>0</v>
      </c>
      <c r="G102" s="130" t="n">
        <f aca="false">IFERROR(SUMPRODUCT(MAX(('Fortnite Reload'!$L$11:$L$50=$B102)*'Fortnite Reload'!$F$11:$F$50)),0)</f>
        <v>0</v>
      </c>
      <c r="H102" s="130" t="n">
        <f aca="false">IFERROR(SUMPRODUCT(MAX((Trackmania!$M$11:$M$42=$B102)*Trackmania!$G$11:$G$42)),0)</f>
        <v>0</v>
      </c>
      <c r="I102" s="130" t="n">
        <f aca="false">IFERROR(SUMPRODUCT(MAX(('Dota 2'!$N$11:$N$34=$B102)*'Dota 2'!$H$11:$H$34)),0)</f>
        <v>0</v>
      </c>
      <c r="J102" s="130" t="n">
        <f aca="false">IFERROR(SUMPRODUCT(MAX(('Tekken 8'!$N$11:$N$42=$B102)*'Tekken 8'!$H$11:$H$42)),0)</f>
        <v>0</v>
      </c>
      <c r="K102" s="130" t="n">
        <f aca="false">IFERROR(SUMPRODUCT(MAX(('Street Fighter 6'!$O$11:$O$42=$B102)*'Street Fighter 6'!$I$11:$I$42)),0)</f>
        <v>0</v>
      </c>
      <c r="L102" s="130" t="n">
        <f aca="false">IFERROR(SUMPRODUCT(MAX(('Fatal Fury CotW'!$L$11:$L$42=$B102)*'Fatal Fury CotW'!$F$11:$F$42)),0)</f>
        <v>0</v>
      </c>
      <c r="M102" s="130" t="n">
        <f aca="false">IFERROR(SUMPRODUCT(MAX((TFT!$N$11:$N$26=$B102)*TFT!$H$11:$H$26)),0)</f>
        <v>0</v>
      </c>
      <c r="N102" s="130" t="n">
        <f aca="false">IFERROR(SUMPRODUCT(MAX(('Rainbow Six'!$P$11:$P$32=$B102)*'Rainbow Six'!$J$11:$J$32)),0)</f>
        <v>0</v>
      </c>
      <c r="O102" s="130" t="n">
        <f aca="false">IFERROR(SUMPRODUCT(MAX((Warzone!$M$11:$M$42=$B102)*Warzone!$G$11:$G$42)),0)</f>
        <v>0</v>
      </c>
      <c r="P102" s="130" t="n">
        <f aca="false">IFERROR(SUMPRODUCT(MAX((Valorant!$N$11:$N$26=$B102)*Valorant!$H$11:$H$26)),0)</f>
        <v>0</v>
      </c>
      <c r="Q102" s="130" t="n">
        <f aca="false">IFERROR(SUMPRODUCT(MAX(('MLBB (MSC)'!$M$11:$M$35=$B102)*'MLBB (MSC)'!$G$11:$G$35)),0)</f>
        <v>0</v>
      </c>
      <c r="R102" s="130" t="n">
        <f aca="false">IFERROR(SUMPRODUCT(MAX(('Apex Legends'!$O$11:$O$50=$B102)*'Apex Legends'!$I$11:$I$50)),0)</f>
        <v>0</v>
      </c>
      <c r="S102" s="130" t="n">
        <f aca="false">IFERROR(SUMPRODUCT(MAX(('Honor of Kings'!$N$11:$N$30=$B102)*'Honor of Kings'!$H$11:$H$30)),0)</f>
        <v>0</v>
      </c>
      <c r="T102" s="130" t="n">
        <f aca="false">IFERROR(SUMPRODUCT(MAX((CrossFire!$L$11:$L$26=$B102)*CrossFire!$F$11:$F$26)),0)</f>
        <v>0</v>
      </c>
      <c r="U102" s="130" t="n">
        <f aca="false">IFERROR(SUMPRODUCT(MAX(('Free Fire'!$M$11:$M$34=$B102)*'Free Fire'!$G$11:$G$34)),0)</f>
        <v>0</v>
      </c>
      <c r="V102" s="130" t="n">
        <f aca="false">IFERROR(SUMPRODUCT(MAX(('EA FC 26'!$N$11:$N$46=$B102)*'EA FC 26'!$H$11:$H$46)),0)</f>
        <v>0</v>
      </c>
      <c r="W102" s="130" t="n">
        <f aca="false">IFERROR(SUMPRODUCT(MAX(('Black Ops 7'!$O$11:$O$26=$B102)*'Black Ops 7'!$J$11:$J$26)),0)</f>
        <v>0</v>
      </c>
      <c r="X102" s="130" t="n">
        <f aca="false">IFERROR(SUMPRODUCT(MAX(('Rocket League'!$P$11:$P$26=$B102)*'Rocket League'!$J$11:$J$26)),0)</f>
        <v>0</v>
      </c>
      <c r="Y102" s="130" t="n">
        <f aca="false">IFERROR(SUMPRODUCT(MAX(('Overwatch 2'!$L$11:$L$26=$B102)*'Overwatch 2'!$F$11:$F$26)),0)</f>
        <v>0</v>
      </c>
      <c r="Z102" s="130" t="n">
        <f aca="false">IFERROR(SUMPRODUCT(MAX((PUBG!$L$11:$L$34=$B102)*PUBG!$F$11:$F$34)),0)</f>
        <v>0</v>
      </c>
      <c r="AA102" s="130" t="n">
        <f aca="false">IFERROR(SUMPRODUCT(MAX(('MLBB Women'!$L$11:$L$26=$B102)*'MLBB Women'!$F$11:$F$26)),0)</f>
        <v>0</v>
      </c>
      <c r="AB102" s="130" t="n">
        <f aca="false">SUM(C102:AA102)</f>
        <v>0</v>
      </c>
      <c r="AC102" s="130"/>
      <c r="AD102" s="200" t="n">
        <f aca="false">AB102-AC102</f>
        <v>0</v>
      </c>
      <c r="AE102" s="82" t="str">
        <f aca="false">IF(AB102=0,"not started",IF(AD102=0,"reconciled",IF(AD102&gt;0,"CHECK NAMES","in progress")))</f>
        <v>not started</v>
      </c>
    </row>
    <row r="103" customFormat="false" ht="15" hidden="false" customHeight="true" outlineLevel="0" collapsed="false">
      <c r="B103" s="92" t="s">
        <v>314</v>
      </c>
      <c r="C103" s="130" t="n">
        <f aca="false">IFERROR(SUMIF(CS2!$L$11:$L$42,$B103,CS2!$F$11:$F$42),0)</f>
        <v>0</v>
      </c>
      <c r="D103" s="130" t="n">
        <f aca="false">IFERROR(SUMPRODUCT(MAX((Chess!$L$11:$L$32=$B103)*Chess!$F$11:$F$32)),0)</f>
        <v>0</v>
      </c>
      <c r="E103" s="130" t="n">
        <f aca="false">IFERROR(SUMPRODUCT(MAX((LoL!$L$11:$L$26=$B103)*LoL!$F$11:$F$26)),0)</f>
        <v>0</v>
      </c>
      <c r="F103" s="130" t="n">
        <f aca="false">IFERROR(SUMPRODUCT(MAX(('PUBG Mobile'!$L$11:$L$42=$B103)*'PUBG Mobile'!$F$11:$F$42)),0)</f>
        <v>0</v>
      </c>
      <c r="G103" s="130" t="n">
        <f aca="false">IFERROR(SUMPRODUCT(MAX(('Fortnite Reload'!$L$11:$L$50=$B103)*'Fortnite Reload'!$F$11:$F$50)),0)</f>
        <v>0</v>
      </c>
      <c r="H103" s="130" t="n">
        <f aca="false">IFERROR(SUMPRODUCT(MAX((Trackmania!$M$11:$M$42=$B103)*Trackmania!$G$11:$G$42)),0)</f>
        <v>0</v>
      </c>
      <c r="I103" s="130" t="n">
        <f aca="false">IFERROR(SUMPRODUCT(MAX(('Dota 2'!$N$11:$N$34=$B103)*'Dota 2'!$H$11:$H$34)),0)</f>
        <v>0</v>
      </c>
      <c r="J103" s="130" t="n">
        <f aca="false">IFERROR(SUMPRODUCT(MAX(('Tekken 8'!$N$11:$N$42=$B103)*'Tekken 8'!$H$11:$H$42)),0)</f>
        <v>0</v>
      </c>
      <c r="K103" s="130" t="n">
        <f aca="false">IFERROR(SUMPRODUCT(MAX(('Street Fighter 6'!$O$11:$O$42=$B103)*'Street Fighter 6'!$I$11:$I$42)),0)</f>
        <v>0</v>
      </c>
      <c r="L103" s="130" t="n">
        <f aca="false">IFERROR(SUMPRODUCT(MAX(('Fatal Fury CotW'!$L$11:$L$42=$B103)*'Fatal Fury CotW'!$F$11:$F$42)),0)</f>
        <v>0</v>
      </c>
      <c r="M103" s="130" t="n">
        <f aca="false">IFERROR(SUMPRODUCT(MAX((TFT!$N$11:$N$26=$B103)*TFT!$H$11:$H$26)),0)</f>
        <v>0</v>
      </c>
      <c r="N103" s="130" t="n">
        <f aca="false">IFERROR(SUMPRODUCT(MAX(('Rainbow Six'!$P$11:$P$32=$B103)*'Rainbow Six'!$J$11:$J$32)),0)</f>
        <v>0</v>
      </c>
      <c r="O103" s="130" t="n">
        <f aca="false">IFERROR(SUMPRODUCT(MAX((Warzone!$M$11:$M$42=$B103)*Warzone!$G$11:$G$42)),0)</f>
        <v>0</v>
      </c>
      <c r="P103" s="130" t="n">
        <f aca="false">IFERROR(SUMPRODUCT(MAX((Valorant!$N$11:$N$26=$B103)*Valorant!$H$11:$H$26)),0)</f>
        <v>0</v>
      </c>
      <c r="Q103" s="130" t="n">
        <f aca="false">IFERROR(SUMPRODUCT(MAX(('MLBB (MSC)'!$M$11:$M$35=$B103)*'MLBB (MSC)'!$G$11:$G$35)),0)</f>
        <v>0</v>
      </c>
      <c r="R103" s="130" t="n">
        <f aca="false">IFERROR(SUMPRODUCT(MAX(('Apex Legends'!$O$11:$O$50=$B103)*'Apex Legends'!$I$11:$I$50)),0)</f>
        <v>0</v>
      </c>
      <c r="S103" s="130" t="n">
        <f aca="false">IFERROR(SUMPRODUCT(MAX(('Honor of Kings'!$N$11:$N$30=$B103)*'Honor of Kings'!$H$11:$H$30)),0)</f>
        <v>0</v>
      </c>
      <c r="T103" s="130" t="n">
        <f aca="false">IFERROR(SUMPRODUCT(MAX((CrossFire!$L$11:$L$26=$B103)*CrossFire!$F$11:$F$26)),0)</f>
        <v>0</v>
      </c>
      <c r="U103" s="130" t="n">
        <f aca="false">IFERROR(SUMPRODUCT(MAX(('Free Fire'!$M$11:$M$34=$B103)*'Free Fire'!$G$11:$G$34)),0)</f>
        <v>0</v>
      </c>
      <c r="V103" s="130" t="n">
        <f aca="false">IFERROR(SUMPRODUCT(MAX(('EA FC 26'!$N$11:$N$46=$B103)*'EA FC 26'!$H$11:$H$46)),0)</f>
        <v>0</v>
      </c>
      <c r="W103" s="130" t="n">
        <f aca="false">IFERROR(SUMPRODUCT(MAX(('Black Ops 7'!$O$11:$O$26=$B103)*'Black Ops 7'!$J$11:$J$26)),0)</f>
        <v>0</v>
      </c>
      <c r="X103" s="130" t="n">
        <f aca="false">IFERROR(SUMPRODUCT(MAX(('Rocket League'!$P$11:$P$26=$B103)*'Rocket League'!$J$11:$J$26)),0)</f>
        <v>0</v>
      </c>
      <c r="Y103" s="130" t="n">
        <f aca="false">IFERROR(SUMPRODUCT(MAX(('Overwatch 2'!$L$11:$L$26=$B103)*'Overwatch 2'!$F$11:$F$26)),0)</f>
        <v>0</v>
      </c>
      <c r="Z103" s="130" t="n">
        <f aca="false">IFERROR(SUMPRODUCT(MAX((PUBG!$L$11:$L$34=$B103)*PUBG!$F$11:$F$34)),0)</f>
        <v>0</v>
      </c>
      <c r="AA103" s="130" t="n">
        <f aca="false">IFERROR(SUMPRODUCT(MAX(('MLBB Women'!$L$11:$L$26=$B103)*'MLBB Women'!$F$11:$F$26)),0)</f>
        <v>0</v>
      </c>
      <c r="AB103" s="130" t="n">
        <f aca="false">SUM(C103:AA103)</f>
        <v>0</v>
      </c>
      <c r="AC103" s="130"/>
      <c r="AD103" s="200" t="n">
        <f aca="false">AB103-AC103</f>
        <v>0</v>
      </c>
      <c r="AE103" s="82" t="str">
        <f aca="false">IF(AB103=0,"not started",IF(AD103=0,"reconciled",IF(AD103&gt;0,"CHECK NAMES","in progress")))</f>
        <v>not started</v>
      </c>
    </row>
    <row r="104" customFormat="false" ht="15" hidden="false" customHeight="true" outlineLevel="0" collapsed="false">
      <c r="B104" s="92" t="s">
        <v>356</v>
      </c>
      <c r="C104" s="130" t="n">
        <f aca="false">IFERROR(SUMIF(CS2!$L$11:$L$42,$B104,CS2!$F$11:$F$42),0)</f>
        <v>0</v>
      </c>
      <c r="D104" s="130" t="n">
        <f aca="false">IFERROR(SUMPRODUCT(MAX((Chess!$L$11:$L$32=$B104)*Chess!$F$11:$F$32)),0)</f>
        <v>0</v>
      </c>
      <c r="E104" s="130" t="n">
        <f aca="false">IFERROR(SUMPRODUCT(MAX((LoL!$L$11:$L$26=$B104)*LoL!$F$11:$F$26)),0)</f>
        <v>0</v>
      </c>
      <c r="F104" s="130" t="n">
        <f aca="false">IFERROR(SUMPRODUCT(MAX(('PUBG Mobile'!$L$11:$L$42=$B104)*'PUBG Mobile'!$F$11:$F$42)),0)</f>
        <v>0</v>
      </c>
      <c r="G104" s="130" t="n">
        <f aca="false">IFERROR(SUMPRODUCT(MAX(('Fortnite Reload'!$L$11:$L$50=$B104)*'Fortnite Reload'!$F$11:$F$50)),0)</f>
        <v>0</v>
      </c>
      <c r="H104" s="130" t="n">
        <f aca="false">IFERROR(SUMPRODUCT(MAX((Trackmania!$M$11:$M$42=$B104)*Trackmania!$G$11:$G$42)),0)</f>
        <v>0</v>
      </c>
      <c r="I104" s="130" t="n">
        <f aca="false">IFERROR(SUMPRODUCT(MAX(('Dota 2'!$N$11:$N$34=$B104)*'Dota 2'!$H$11:$H$34)),0)</f>
        <v>0</v>
      </c>
      <c r="J104" s="130" t="n">
        <f aca="false">IFERROR(SUMPRODUCT(MAX(('Tekken 8'!$N$11:$N$42=$B104)*'Tekken 8'!$H$11:$H$42)),0)</f>
        <v>0</v>
      </c>
      <c r="K104" s="130" t="n">
        <f aca="false">IFERROR(SUMPRODUCT(MAX(('Street Fighter 6'!$O$11:$O$42=$B104)*'Street Fighter 6'!$I$11:$I$42)),0)</f>
        <v>0</v>
      </c>
      <c r="L104" s="130" t="n">
        <f aca="false">IFERROR(SUMPRODUCT(MAX(('Fatal Fury CotW'!$L$11:$L$42=$B104)*'Fatal Fury CotW'!$F$11:$F$42)),0)</f>
        <v>0</v>
      </c>
      <c r="M104" s="130" t="n">
        <f aca="false">IFERROR(SUMPRODUCT(MAX((TFT!$N$11:$N$26=$B104)*TFT!$H$11:$H$26)),0)</f>
        <v>0</v>
      </c>
      <c r="N104" s="130" t="n">
        <f aca="false">IFERROR(SUMPRODUCT(MAX(('Rainbow Six'!$P$11:$P$32=$B104)*'Rainbow Six'!$J$11:$J$32)),0)</f>
        <v>0</v>
      </c>
      <c r="O104" s="130" t="n">
        <f aca="false">IFERROR(SUMPRODUCT(MAX((Warzone!$M$11:$M$42=$B104)*Warzone!$G$11:$G$42)),0)</f>
        <v>0</v>
      </c>
      <c r="P104" s="130" t="n">
        <f aca="false">IFERROR(SUMPRODUCT(MAX((Valorant!$N$11:$N$26=$B104)*Valorant!$H$11:$H$26)),0)</f>
        <v>0</v>
      </c>
      <c r="Q104" s="130" t="n">
        <f aca="false">IFERROR(SUMPRODUCT(MAX(('MLBB (MSC)'!$M$11:$M$35=$B104)*'MLBB (MSC)'!$G$11:$G$35)),0)</f>
        <v>0</v>
      </c>
      <c r="R104" s="130" t="n">
        <f aca="false">IFERROR(SUMPRODUCT(MAX(('Apex Legends'!$O$11:$O$50=$B104)*'Apex Legends'!$I$11:$I$50)),0)</f>
        <v>0</v>
      </c>
      <c r="S104" s="130" t="n">
        <f aca="false">IFERROR(SUMPRODUCT(MAX(('Honor of Kings'!$N$11:$N$30=$B104)*'Honor of Kings'!$H$11:$H$30)),0)</f>
        <v>0</v>
      </c>
      <c r="T104" s="130" t="n">
        <f aca="false">IFERROR(SUMPRODUCT(MAX((CrossFire!$L$11:$L$26=$B104)*CrossFire!$F$11:$F$26)),0)</f>
        <v>0</v>
      </c>
      <c r="U104" s="130" t="n">
        <f aca="false">IFERROR(SUMPRODUCT(MAX(('Free Fire'!$M$11:$M$34=$B104)*'Free Fire'!$G$11:$G$34)),0)</f>
        <v>0</v>
      </c>
      <c r="V104" s="130" t="n">
        <f aca="false">IFERROR(SUMPRODUCT(MAX(('EA FC 26'!$N$11:$N$46=$B104)*'EA FC 26'!$H$11:$H$46)),0)</f>
        <v>0</v>
      </c>
      <c r="W104" s="130" t="n">
        <f aca="false">IFERROR(SUMPRODUCT(MAX(('Black Ops 7'!$O$11:$O$26=$B104)*'Black Ops 7'!$J$11:$J$26)),0)</f>
        <v>0</v>
      </c>
      <c r="X104" s="130" t="n">
        <f aca="false">IFERROR(SUMPRODUCT(MAX(('Rocket League'!$P$11:$P$26=$B104)*'Rocket League'!$J$11:$J$26)),0)</f>
        <v>0</v>
      </c>
      <c r="Y104" s="130" t="n">
        <f aca="false">IFERROR(SUMPRODUCT(MAX(('Overwatch 2'!$L$11:$L$26=$B104)*'Overwatch 2'!$F$11:$F$26)),0)</f>
        <v>0</v>
      </c>
      <c r="Z104" s="130" t="n">
        <f aca="false">IFERROR(SUMPRODUCT(MAX((PUBG!$L$11:$L$34=$B104)*PUBG!$F$11:$F$34)),0)</f>
        <v>0</v>
      </c>
      <c r="AA104" s="130" t="n">
        <f aca="false">IFERROR(SUMPRODUCT(MAX(('MLBB Women'!$L$11:$L$26=$B104)*'MLBB Women'!$F$11:$F$26)),0)</f>
        <v>0</v>
      </c>
      <c r="AB104" s="130" t="n">
        <f aca="false">SUM(C104:AA104)</f>
        <v>0</v>
      </c>
      <c r="AC104" s="130"/>
      <c r="AD104" s="200" t="n">
        <f aca="false">AB104-AC104</f>
        <v>0</v>
      </c>
      <c r="AE104" s="82" t="str">
        <f aca="false">IF(AB104=0,"not started",IF(AD104=0,"reconciled",IF(AD104&gt;0,"CHECK NAMES","in progress")))</f>
        <v>not started</v>
      </c>
    </row>
    <row r="105" customFormat="false" ht="15" hidden="false" customHeight="true" outlineLevel="0" collapsed="false">
      <c r="B105" s="92" t="s">
        <v>358</v>
      </c>
      <c r="C105" s="130" t="n">
        <f aca="false">IFERROR(SUMIF(CS2!$L$11:$L$42,$B105,CS2!$F$11:$F$42),0)</f>
        <v>0</v>
      </c>
      <c r="D105" s="130" t="n">
        <f aca="false">IFERROR(SUMPRODUCT(MAX((Chess!$L$11:$L$32=$B105)*Chess!$F$11:$F$32)),0)</f>
        <v>0</v>
      </c>
      <c r="E105" s="130" t="n">
        <f aca="false">IFERROR(SUMPRODUCT(MAX((LoL!$L$11:$L$26=$B105)*LoL!$F$11:$F$26)),0)</f>
        <v>0</v>
      </c>
      <c r="F105" s="130" t="n">
        <f aca="false">IFERROR(SUMPRODUCT(MAX(('PUBG Mobile'!$L$11:$L$42=$B105)*'PUBG Mobile'!$F$11:$F$42)),0)</f>
        <v>0</v>
      </c>
      <c r="G105" s="130" t="n">
        <f aca="false">IFERROR(SUMPRODUCT(MAX(('Fortnite Reload'!$L$11:$L$50=$B105)*'Fortnite Reload'!$F$11:$F$50)),0)</f>
        <v>0</v>
      </c>
      <c r="H105" s="130" t="n">
        <f aca="false">IFERROR(SUMPRODUCT(MAX((Trackmania!$M$11:$M$42=$B105)*Trackmania!$G$11:$G$42)),0)</f>
        <v>0</v>
      </c>
      <c r="I105" s="130" t="n">
        <f aca="false">IFERROR(SUMPRODUCT(MAX(('Dota 2'!$N$11:$N$34=$B105)*'Dota 2'!$H$11:$H$34)),0)</f>
        <v>0</v>
      </c>
      <c r="J105" s="130" t="n">
        <f aca="false">IFERROR(SUMPRODUCT(MAX(('Tekken 8'!$N$11:$N$42=$B105)*'Tekken 8'!$H$11:$H$42)),0)</f>
        <v>0</v>
      </c>
      <c r="K105" s="130" t="n">
        <f aca="false">IFERROR(SUMPRODUCT(MAX(('Street Fighter 6'!$O$11:$O$42=$B105)*'Street Fighter 6'!$I$11:$I$42)),0)</f>
        <v>0</v>
      </c>
      <c r="L105" s="130" t="n">
        <f aca="false">IFERROR(SUMPRODUCT(MAX(('Fatal Fury CotW'!$L$11:$L$42=$B105)*'Fatal Fury CotW'!$F$11:$F$42)),0)</f>
        <v>0</v>
      </c>
      <c r="M105" s="130" t="n">
        <f aca="false">IFERROR(SUMPRODUCT(MAX((TFT!$N$11:$N$26=$B105)*TFT!$H$11:$H$26)),0)</f>
        <v>0</v>
      </c>
      <c r="N105" s="130" t="n">
        <f aca="false">IFERROR(SUMPRODUCT(MAX(('Rainbow Six'!$P$11:$P$32=$B105)*'Rainbow Six'!$J$11:$J$32)),0)</f>
        <v>0</v>
      </c>
      <c r="O105" s="130" t="n">
        <f aca="false">IFERROR(SUMPRODUCT(MAX((Warzone!$M$11:$M$42=$B105)*Warzone!$G$11:$G$42)),0)</f>
        <v>0</v>
      </c>
      <c r="P105" s="130" t="n">
        <f aca="false">IFERROR(SUMPRODUCT(MAX((Valorant!$N$11:$N$26=$B105)*Valorant!$H$11:$H$26)),0)</f>
        <v>0</v>
      </c>
      <c r="Q105" s="130" t="n">
        <f aca="false">IFERROR(SUMPRODUCT(MAX(('MLBB (MSC)'!$M$11:$M$35=$B105)*'MLBB (MSC)'!$G$11:$G$35)),0)</f>
        <v>0</v>
      </c>
      <c r="R105" s="130" t="n">
        <f aca="false">IFERROR(SUMPRODUCT(MAX(('Apex Legends'!$O$11:$O$50=$B105)*'Apex Legends'!$I$11:$I$50)),0)</f>
        <v>0</v>
      </c>
      <c r="S105" s="130" t="n">
        <f aca="false">IFERROR(SUMPRODUCT(MAX(('Honor of Kings'!$N$11:$N$30=$B105)*'Honor of Kings'!$H$11:$H$30)),0)</f>
        <v>0</v>
      </c>
      <c r="T105" s="130" t="n">
        <f aca="false">IFERROR(SUMPRODUCT(MAX((CrossFire!$L$11:$L$26=$B105)*CrossFire!$F$11:$F$26)),0)</f>
        <v>0</v>
      </c>
      <c r="U105" s="130" t="n">
        <f aca="false">IFERROR(SUMPRODUCT(MAX(('Free Fire'!$M$11:$M$34=$B105)*'Free Fire'!$G$11:$G$34)),0)</f>
        <v>0</v>
      </c>
      <c r="V105" s="130" t="n">
        <f aca="false">IFERROR(SUMPRODUCT(MAX(('EA FC 26'!$N$11:$N$46=$B105)*'EA FC 26'!$H$11:$H$46)),0)</f>
        <v>0</v>
      </c>
      <c r="W105" s="130" t="n">
        <f aca="false">IFERROR(SUMPRODUCT(MAX(('Black Ops 7'!$O$11:$O$26=$B105)*'Black Ops 7'!$J$11:$J$26)),0)</f>
        <v>0</v>
      </c>
      <c r="X105" s="130" t="n">
        <f aca="false">IFERROR(SUMPRODUCT(MAX(('Rocket League'!$P$11:$P$26=$B105)*'Rocket League'!$J$11:$J$26)),0)</f>
        <v>0</v>
      </c>
      <c r="Y105" s="130" t="n">
        <f aca="false">IFERROR(SUMPRODUCT(MAX(('Overwatch 2'!$L$11:$L$26=$B105)*'Overwatch 2'!$F$11:$F$26)),0)</f>
        <v>0</v>
      </c>
      <c r="Z105" s="130" t="n">
        <f aca="false">IFERROR(SUMPRODUCT(MAX((PUBG!$L$11:$L$34=$B105)*PUBG!$F$11:$F$34)),0)</f>
        <v>0</v>
      </c>
      <c r="AA105" s="130" t="n">
        <f aca="false">IFERROR(SUMPRODUCT(MAX(('MLBB Women'!$L$11:$L$26=$B105)*'MLBB Women'!$F$11:$F$26)),0)</f>
        <v>0</v>
      </c>
      <c r="AB105" s="130" t="n">
        <f aca="false">SUM(C105:AA105)</f>
        <v>0</v>
      </c>
      <c r="AC105" s="130"/>
      <c r="AD105" s="200" t="n">
        <f aca="false">AB105-AC105</f>
        <v>0</v>
      </c>
      <c r="AE105" s="82" t="str">
        <f aca="false">IF(AB105=0,"not started",IF(AD105=0,"reconciled",IF(AD105&gt;0,"CHECK NAMES","in progress")))</f>
        <v>not started</v>
      </c>
    </row>
    <row r="106" customFormat="false" ht="15" hidden="false" customHeight="true" outlineLevel="0" collapsed="false">
      <c r="B106" s="92" t="s">
        <v>245</v>
      </c>
      <c r="C106" s="130" t="n">
        <f aca="false">IFERROR(SUMIF(CS2!$L$11:$L$42,$B106,CS2!$F$11:$F$42),0)</f>
        <v>0</v>
      </c>
      <c r="D106" s="130" t="n">
        <f aca="false">IFERROR(SUMPRODUCT(MAX((Chess!$L$11:$L$32=$B106)*Chess!$F$11:$F$32)),0)</f>
        <v>0</v>
      </c>
      <c r="E106" s="130" t="n">
        <f aca="false">IFERROR(SUMPRODUCT(MAX((LoL!$L$11:$L$26=$B106)*LoL!$F$11:$F$26)),0)</f>
        <v>0</v>
      </c>
      <c r="F106" s="130" t="n">
        <f aca="false">IFERROR(SUMPRODUCT(MAX(('PUBG Mobile'!$L$11:$L$42=$B106)*'PUBG Mobile'!$F$11:$F$42)),0)</f>
        <v>0</v>
      </c>
      <c r="G106" s="130" t="n">
        <f aca="false">IFERROR(SUMPRODUCT(MAX(('Fortnite Reload'!$L$11:$L$50=$B106)*'Fortnite Reload'!$F$11:$F$50)),0)</f>
        <v>0</v>
      </c>
      <c r="H106" s="130" t="n">
        <f aca="false">IFERROR(SUMPRODUCT(MAX((Trackmania!$M$11:$M$42=$B106)*Trackmania!$G$11:$G$42)),0)</f>
        <v>0</v>
      </c>
      <c r="I106" s="130" t="n">
        <f aca="false">IFERROR(SUMPRODUCT(MAX(('Dota 2'!$N$11:$N$34=$B106)*'Dota 2'!$H$11:$H$34)),0)</f>
        <v>0</v>
      </c>
      <c r="J106" s="130" t="n">
        <f aca="false">IFERROR(SUMPRODUCT(MAX(('Tekken 8'!$N$11:$N$42=$B106)*'Tekken 8'!$H$11:$H$42)),0)</f>
        <v>0</v>
      </c>
      <c r="K106" s="130" t="n">
        <f aca="false">IFERROR(SUMPRODUCT(MAX(('Street Fighter 6'!$O$11:$O$42=$B106)*'Street Fighter 6'!$I$11:$I$42)),0)</f>
        <v>0</v>
      </c>
      <c r="L106" s="130" t="n">
        <f aca="false">IFERROR(SUMPRODUCT(MAX(('Fatal Fury CotW'!$L$11:$L$42=$B106)*'Fatal Fury CotW'!$F$11:$F$42)),0)</f>
        <v>0</v>
      </c>
      <c r="M106" s="130" t="n">
        <f aca="false">IFERROR(SUMPRODUCT(MAX((TFT!$N$11:$N$26=$B106)*TFT!$H$11:$H$26)),0)</f>
        <v>0</v>
      </c>
      <c r="N106" s="130" t="n">
        <f aca="false">IFERROR(SUMPRODUCT(MAX(('Rainbow Six'!$P$11:$P$32=$B106)*'Rainbow Six'!$J$11:$J$32)),0)</f>
        <v>0</v>
      </c>
      <c r="O106" s="130" t="n">
        <f aca="false">IFERROR(SUMPRODUCT(MAX((Warzone!$M$11:$M$42=$B106)*Warzone!$G$11:$G$42)),0)</f>
        <v>0</v>
      </c>
      <c r="P106" s="130" t="n">
        <f aca="false">IFERROR(SUMPRODUCT(MAX((Valorant!$N$11:$N$26=$B106)*Valorant!$H$11:$H$26)),0)</f>
        <v>0</v>
      </c>
      <c r="Q106" s="130" t="n">
        <f aca="false">IFERROR(SUMPRODUCT(MAX(('MLBB (MSC)'!$M$11:$M$35=$B106)*'MLBB (MSC)'!$G$11:$G$35)),0)</f>
        <v>0</v>
      </c>
      <c r="R106" s="130" t="n">
        <f aca="false">IFERROR(SUMPRODUCT(MAX(('Apex Legends'!$O$11:$O$50=$B106)*'Apex Legends'!$I$11:$I$50)),0)</f>
        <v>0</v>
      </c>
      <c r="S106" s="130" t="n">
        <f aca="false">IFERROR(SUMPRODUCT(MAX(('Honor of Kings'!$N$11:$N$30=$B106)*'Honor of Kings'!$H$11:$H$30)),0)</f>
        <v>0</v>
      </c>
      <c r="T106" s="130" t="n">
        <f aca="false">IFERROR(SUMPRODUCT(MAX((CrossFire!$L$11:$L$26=$B106)*CrossFire!$F$11:$F$26)),0)</f>
        <v>0</v>
      </c>
      <c r="U106" s="130" t="n">
        <f aca="false">IFERROR(SUMPRODUCT(MAX(('Free Fire'!$M$11:$M$34=$B106)*'Free Fire'!$G$11:$G$34)),0)</f>
        <v>0</v>
      </c>
      <c r="V106" s="130" t="n">
        <f aca="false">IFERROR(SUMPRODUCT(MAX(('EA FC 26'!$N$11:$N$46=$B106)*'EA FC 26'!$H$11:$H$46)),0)</f>
        <v>0</v>
      </c>
      <c r="W106" s="130" t="n">
        <f aca="false">IFERROR(SUMPRODUCT(MAX(('Black Ops 7'!$O$11:$O$26=$B106)*'Black Ops 7'!$J$11:$J$26)),0)</f>
        <v>0</v>
      </c>
      <c r="X106" s="130" t="n">
        <f aca="false">IFERROR(SUMPRODUCT(MAX(('Rocket League'!$P$11:$P$26=$B106)*'Rocket League'!$J$11:$J$26)),0)</f>
        <v>0</v>
      </c>
      <c r="Y106" s="130" t="n">
        <f aca="false">IFERROR(SUMPRODUCT(MAX(('Overwatch 2'!$L$11:$L$26=$B106)*'Overwatch 2'!$F$11:$F$26)),0)</f>
        <v>0</v>
      </c>
      <c r="Z106" s="130" t="n">
        <f aca="false">IFERROR(SUMPRODUCT(MAX((PUBG!$L$11:$L$34=$B106)*PUBG!$F$11:$F$34)),0)</f>
        <v>0</v>
      </c>
      <c r="AA106" s="130" t="n">
        <f aca="false">IFERROR(SUMPRODUCT(MAX(('MLBB Women'!$L$11:$L$26=$B106)*'MLBB Women'!$F$11:$F$26)),0)</f>
        <v>0</v>
      </c>
      <c r="AB106" s="130" t="n">
        <f aca="false">SUM(C106:AA106)</f>
        <v>0</v>
      </c>
      <c r="AC106" s="130"/>
      <c r="AD106" s="200" t="n">
        <f aca="false">AB106-AC106</f>
        <v>0</v>
      </c>
      <c r="AE106" s="82" t="str">
        <f aca="false">IF(AB106=0,"not started",IF(AD106=0,"reconciled",IF(AD106&gt;0,"CHECK NAMES","in progress")))</f>
        <v>not started</v>
      </c>
    </row>
    <row r="107" customFormat="false" ht="15" hidden="false" customHeight="true" outlineLevel="0" collapsed="false">
      <c r="B107" s="92" t="s">
        <v>360</v>
      </c>
      <c r="C107" s="130" t="n">
        <f aca="false">IFERROR(SUMIF(CS2!$L$11:$L$42,$B107,CS2!$F$11:$F$42),0)</f>
        <v>0</v>
      </c>
      <c r="D107" s="130" t="n">
        <f aca="false">IFERROR(SUMPRODUCT(MAX((Chess!$L$11:$L$32=$B107)*Chess!$F$11:$F$32)),0)</f>
        <v>0</v>
      </c>
      <c r="E107" s="130" t="n">
        <f aca="false">IFERROR(SUMPRODUCT(MAX((LoL!$L$11:$L$26=$B107)*LoL!$F$11:$F$26)),0)</f>
        <v>0</v>
      </c>
      <c r="F107" s="130" t="n">
        <f aca="false">IFERROR(SUMPRODUCT(MAX(('PUBG Mobile'!$L$11:$L$42=$B107)*'PUBG Mobile'!$F$11:$F$42)),0)</f>
        <v>0</v>
      </c>
      <c r="G107" s="130" t="n">
        <f aca="false">IFERROR(SUMPRODUCT(MAX(('Fortnite Reload'!$L$11:$L$50=$B107)*'Fortnite Reload'!$F$11:$F$50)),0)</f>
        <v>0</v>
      </c>
      <c r="H107" s="130" t="n">
        <f aca="false">IFERROR(SUMPRODUCT(MAX((Trackmania!$M$11:$M$42=$B107)*Trackmania!$G$11:$G$42)),0)</f>
        <v>0</v>
      </c>
      <c r="I107" s="130" t="n">
        <f aca="false">IFERROR(SUMPRODUCT(MAX(('Dota 2'!$N$11:$N$34=$B107)*'Dota 2'!$H$11:$H$34)),0)</f>
        <v>0</v>
      </c>
      <c r="J107" s="130" t="n">
        <f aca="false">IFERROR(SUMPRODUCT(MAX(('Tekken 8'!$N$11:$N$42=$B107)*'Tekken 8'!$H$11:$H$42)),0)</f>
        <v>0</v>
      </c>
      <c r="K107" s="130" t="n">
        <f aca="false">IFERROR(SUMPRODUCT(MAX(('Street Fighter 6'!$O$11:$O$42=$B107)*'Street Fighter 6'!$I$11:$I$42)),0)</f>
        <v>0</v>
      </c>
      <c r="L107" s="130" t="n">
        <f aca="false">IFERROR(SUMPRODUCT(MAX(('Fatal Fury CotW'!$L$11:$L$42=$B107)*'Fatal Fury CotW'!$F$11:$F$42)),0)</f>
        <v>0</v>
      </c>
      <c r="M107" s="130" t="n">
        <f aca="false">IFERROR(SUMPRODUCT(MAX((TFT!$N$11:$N$26=$B107)*TFT!$H$11:$H$26)),0)</f>
        <v>0</v>
      </c>
      <c r="N107" s="130" t="n">
        <f aca="false">IFERROR(SUMPRODUCT(MAX(('Rainbow Six'!$P$11:$P$32=$B107)*'Rainbow Six'!$J$11:$J$32)),0)</f>
        <v>0</v>
      </c>
      <c r="O107" s="130" t="n">
        <f aca="false">IFERROR(SUMPRODUCT(MAX((Warzone!$M$11:$M$42=$B107)*Warzone!$G$11:$G$42)),0)</f>
        <v>0</v>
      </c>
      <c r="P107" s="130" t="n">
        <f aca="false">IFERROR(SUMPRODUCT(MAX((Valorant!$N$11:$N$26=$B107)*Valorant!$H$11:$H$26)),0)</f>
        <v>0</v>
      </c>
      <c r="Q107" s="130" t="n">
        <f aca="false">IFERROR(SUMPRODUCT(MAX(('MLBB (MSC)'!$M$11:$M$35=$B107)*'MLBB (MSC)'!$G$11:$G$35)),0)</f>
        <v>0</v>
      </c>
      <c r="R107" s="130" t="n">
        <f aca="false">IFERROR(SUMPRODUCT(MAX(('Apex Legends'!$O$11:$O$50=$B107)*'Apex Legends'!$I$11:$I$50)),0)</f>
        <v>0</v>
      </c>
      <c r="S107" s="130" t="n">
        <f aca="false">IFERROR(SUMPRODUCT(MAX(('Honor of Kings'!$N$11:$N$30=$B107)*'Honor of Kings'!$H$11:$H$30)),0)</f>
        <v>0</v>
      </c>
      <c r="T107" s="130" t="n">
        <f aca="false">IFERROR(SUMPRODUCT(MAX((CrossFire!$L$11:$L$26=$B107)*CrossFire!$F$11:$F$26)),0)</f>
        <v>0</v>
      </c>
      <c r="U107" s="130" t="n">
        <f aca="false">IFERROR(SUMPRODUCT(MAX(('Free Fire'!$M$11:$M$34=$B107)*'Free Fire'!$G$11:$G$34)),0)</f>
        <v>0</v>
      </c>
      <c r="V107" s="130" t="n">
        <f aca="false">IFERROR(SUMPRODUCT(MAX(('EA FC 26'!$N$11:$N$46=$B107)*'EA FC 26'!$H$11:$H$46)),0)</f>
        <v>0</v>
      </c>
      <c r="W107" s="130" t="n">
        <f aca="false">IFERROR(SUMPRODUCT(MAX(('Black Ops 7'!$O$11:$O$26=$B107)*'Black Ops 7'!$J$11:$J$26)),0)</f>
        <v>0</v>
      </c>
      <c r="X107" s="130" t="n">
        <f aca="false">IFERROR(SUMPRODUCT(MAX(('Rocket League'!$P$11:$P$26=$B107)*'Rocket League'!$J$11:$J$26)),0)</f>
        <v>0</v>
      </c>
      <c r="Y107" s="130" t="n">
        <f aca="false">IFERROR(SUMPRODUCT(MAX(('Overwatch 2'!$L$11:$L$26=$B107)*'Overwatch 2'!$F$11:$F$26)),0)</f>
        <v>0</v>
      </c>
      <c r="Z107" s="130" t="n">
        <f aca="false">IFERROR(SUMPRODUCT(MAX((PUBG!$L$11:$L$34=$B107)*PUBG!$F$11:$F$34)),0)</f>
        <v>0</v>
      </c>
      <c r="AA107" s="130" t="n">
        <f aca="false">IFERROR(SUMPRODUCT(MAX(('MLBB Women'!$L$11:$L$26=$B107)*'MLBB Women'!$F$11:$F$26)),0)</f>
        <v>0</v>
      </c>
      <c r="AB107" s="130" t="n">
        <f aca="false">SUM(C107:AA107)</f>
        <v>0</v>
      </c>
      <c r="AC107" s="130"/>
      <c r="AD107" s="200" t="n">
        <f aca="false">AB107-AC107</f>
        <v>0</v>
      </c>
      <c r="AE107" s="82" t="str">
        <f aca="false">IF(AB107=0,"not started",IF(AD107=0,"reconciled",IF(AD107&gt;0,"CHECK NAMES","in progress")))</f>
        <v>not started</v>
      </c>
    </row>
    <row r="108" customFormat="false" ht="15" hidden="false" customHeight="true" outlineLevel="0" collapsed="false">
      <c r="B108" s="92" t="s">
        <v>318</v>
      </c>
      <c r="C108" s="130" t="n">
        <f aca="false">IFERROR(SUMIF(CS2!$L$11:$L$42,$B108,CS2!$F$11:$F$42),0)</f>
        <v>0</v>
      </c>
      <c r="D108" s="130" t="n">
        <f aca="false">IFERROR(SUMPRODUCT(MAX((Chess!$L$11:$L$32=$B108)*Chess!$F$11:$F$32)),0)</f>
        <v>0</v>
      </c>
      <c r="E108" s="130" t="n">
        <f aca="false">IFERROR(SUMPRODUCT(MAX((LoL!$L$11:$L$26=$B108)*LoL!$F$11:$F$26)),0)</f>
        <v>0</v>
      </c>
      <c r="F108" s="130" t="n">
        <f aca="false">IFERROR(SUMPRODUCT(MAX(('PUBG Mobile'!$L$11:$L$42=$B108)*'PUBG Mobile'!$F$11:$F$42)),0)</f>
        <v>0</v>
      </c>
      <c r="G108" s="130" t="n">
        <f aca="false">IFERROR(SUMPRODUCT(MAX(('Fortnite Reload'!$L$11:$L$50=$B108)*'Fortnite Reload'!$F$11:$F$50)),0)</f>
        <v>0</v>
      </c>
      <c r="H108" s="130" t="n">
        <f aca="false">IFERROR(SUMPRODUCT(MAX((Trackmania!$M$11:$M$42=$B108)*Trackmania!$G$11:$G$42)),0)</f>
        <v>0</v>
      </c>
      <c r="I108" s="130" t="n">
        <f aca="false">IFERROR(SUMPRODUCT(MAX(('Dota 2'!$N$11:$N$34=$B108)*'Dota 2'!$H$11:$H$34)),0)</f>
        <v>0</v>
      </c>
      <c r="J108" s="130" t="n">
        <f aca="false">IFERROR(SUMPRODUCT(MAX(('Tekken 8'!$N$11:$N$42=$B108)*'Tekken 8'!$H$11:$H$42)),0)</f>
        <v>0</v>
      </c>
      <c r="K108" s="130" t="n">
        <f aca="false">IFERROR(SUMPRODUCT(MAX(('Street Fighter 6'!$O$11:$O$42=$B108)*'Street Fighter 6'!$I$11:$I$42)),0)</f>
        <v>0</v>
      </c>
      <c r="L108" s="130" t="n">
        <f aca="false">IFERROR(SUMPRODUCT(MAX(('Fatal Fury CotW'!$L$11:$L$42=$B108)*'Fatal Fury CotW'!$F$11:$F$42)),0)</f>
        <v>0</v>
      </c>
      <c r="M108" s="130" t="n">
        <f aca="false">IFERROR(SUMPRODUCT(MAX((TFT!$N$11:$N$26=$B108)*TFT!$H$11:$H$26)),0)</f>
        <v>0</v>
      </c>
      <c r="N108" s="130" t="n">
        <f aca="false">IFERROR(SUMPRODUCT(MAX(('Rainbow Six'!$P$11:$P$32=$B108)*'Rainbow Six'!$J$11:$J$32)),0)</f>
        <v>0</v>
      </c>
      <c r="O108" s="130" t="n">
        <f aca="false">IFERROR(SUMPRODUCT(MAX((Warzone!$M$11:$M$42=$B108)*Warzone!$G$11:$G$42)),0)</f>
        <v>0</v>
      </c>
      <c r="P108" s="130" t="n">
        <f aca="false">IFERROR(SUMPRODUCT(MAX((Valorant!$N$11:$N$26=$B108)*Valorant!$H$11:$H$26)),0)</f>
        <v>0</v>
      </c>
      <c r="Q108" s="130" t="n">
        <f aca="false">IFERROR(SUMPRODUCT(MAX(('MLBB (MSC)'!$M$11:$M$35=$B108)*'MLBB (MSC)'!$G$11:$G$35)),0)</f>
        <v>0</v>
      </c>
      <c r="R108" s="130" t="n">
        <f aca="false">IFERROR(SUMPRODUCT(MAX(('Apex Legends'!$O$11:$O$50=$B108)*'Apex Legends'!$I$11:$I$50)),0)</f>
        <v>0</v>
      </c>
      <c r="S108" s="130" t="n">
        <f aca="false">IFERROR(SUMPRODUCT(MAX(('Honor of Kings'!$N$11:$N$30=$B108)*'Honor of Kings'!$H$11:$H$30)),0)</f>
        <v>0</v>
      </c>
      <c r="T108" s="130" t="n">
        <f aca="false">IFERROR(SUMPRODUCT(MAX((CrossFire!$L$11:$L$26=$B108)*CrossFire!$F$11:$F$26)),0)</f>
        <v>0</v>
      </c>
      <c r="U108" s="130" t="n">
        <f aca="false">IFERROR(SUMPRODUCT(MAX(('Free Fire'!$M$11:$M$34=$B108)*'Free Fire'!$G$11:$G$34)),0)</f>
        <v>0</v>
      </c>
      <c r="V108" s="130" t="n">
        <f aca="false">IFERROR(SUMPRODUCT(MAX(('EA FC 26'!$N$11:$N$46=$B108)*'EA FC 26'!$H$11:$H$46)),0)</f>
        <v>0</v>
      </c>
      <c r="W108" s="130" t="n">
        <f aca="false">IFERROR(SUMPRODUCT(MAX(('Black Ops 7'!$O$11:$O$26=$B108)*'Black Ops 7'!$J$11:$J$26)),0)</f>
        <v>0</v>
      </c>
      <c r="X108" s="130" t="n">
        <f aca="false">IFERROR(SUMPRODUCT(MAX(('Rocket League'!$P$11:$P$26=$B108)*'Rocket League'!$J$11:$J$26)),0)</f>
        <v>0</v>
      </c>
      <c r="Y108" s="130" t="n">
        <f aca="false">IFERROR(SUMPRODUCT(MAX(('Overwatch 2'!$L$11:$L$26=$B108)*'Overwatch 2'!$F$11:$F$26)),0)</f>
        <v>0</v>
      </c>
      <c r="Z108" s="130" t="n">
        <f aca="false">IFERROR(SUMPRODUCT(MAX((PUBG!$L$11:$L$34=$B108)*PUBG!$F$11:$F$34)),0)</f>
        <v>0</v>
      </c>
      <c r="AA108" s="130" t="n">
        <f aca="false">IFERROR(SUMPRODUCT(MAX(('MLBB Women'!$L$11:$L$26=$B108)*'MLBB Women'!$F$11:$F$26)),0)</f>
        <v>0</v>
      </c>
      <c r="AB108" s="130" t="n">
        <f aca="false">SUM(C108:AA108)</f>
        <v>0</v>
      </c>
      <c r="AC108" s="130"/>
      <c r="AD108" s="200" t="n">
        <f aca="false">AB108-AC108</f>
        <v>0</v>
      </c>
      <c r="AE108" s="82" t="str">
        <f aca="false">IF(AB108=0,"not started",IF(AD108=0,"reconciled",IF(AD108&gt;0,"CHECK NAMES","in progress")))</f>
        <v>not started</v>
      </c>
    </row>
    <row r="109" customFormat="false" ht="15" hidden="false" customHeight="true" outlineLevel="0" collapsed="false">
      <c r="B109" s="92" t="s">
        <v>286</v>
      </c>
      <c r="C109" s="130" t="n">
        <f aca="false">IFERROR(SUMIF(CS2!$L$11:$L$42,$B109,CS2!$F$11:$F$42),0)</f>
        <v>0</v>
      </c>
      <c r="D109" s="130" t="n">
        <f aca="false">IFERROR(SUMPRODUCT(MAX((Chess!$L$11:$L$32=$B109)*Chess!$F$11:$F$32)),0)</f>
        <v>0</v>
      </c>
      <c r="E109" s="130" t="n">
        <f aca="false">IFERROR(SUMPRODUCT(MAX((LoL!$L$11:$L$26=$B109)*LoL!$F$11:$F$26)),0)</f>
        <v>0</v>
      </c>
      <c r="F109" s="130" t="n">
        <f aca="false">IFERROR(SUMPRODUCT(MAX(('PUBG Mobile'!$L$11:$L$42=$B109)*'PUBG Mobile'!$F$11:$F$42)),0)</f>
        <v>0</v>
      </c>
      <c r="G109" s="130" t="n">
        <f aca="false">IFERROR(SUMPRODUCT(MAX(('Fortnite Reload'!$L$11:$L$50=$B109)*'Fortnite Reload'!$F$11:$F$50)),0)</f>
        <v>0</v>
      </c>
      <c r="H109" s="130" t="n">
        <f aca="false">IFERROR(SUMPRODUCT(MAX((Trackmania!$M$11:$M$42=$B109)*Trackmania!$G$11:$G$42)),0)</f>
        <v>0</v>
      </c>
      <c r="I109" s="130" t="n">
        <f aca="false">IFERROR(SUMPRODUCT(MAX(('Dota 2'!$N$11:$N$34=$B109)*'Dota 2'!$H$11:$H$34)),0)</f>
        <v>0</v>
      </c>
      <c r="J109" s="130" t="n">
        <f aca="false">IFERROR(SUMPRODUCT(MAX(('Tekken 8'!$N$11:$N$42=$B109)*'Tekken 8'!$H$11:$H$42)),0)</f>
        <v>0</v>
      </c>
      <c r="K109" s="130" t="n">
        <f aca="false">IFERROR(SUMPRODUCT(MAX(('Street Fighter 6'!$O$11:$O$42=$B109)*'Street Fighter 6'!$I$11:$I$42)),0)</f>
        <v>0</v>
      </c>
      <c r="L109" s="130" t="n">
        <f aca="false">IFERROR(SUMPRODUCT(MAX(('Fatal Fury CotW'!$L$11:$L$42=$B109)*'Fatal Fury CotW'!$F$11:$F$42)),0)</f>
        <v>0</v>
      </c>
      <c r="M109" s="130" t="n">
        <f aca="false">IFERROR(SUMPRODUCT(MAX((TFT!$N$11:$N$26=$B109)*TFT!$H$11:$H$26)),0)</f>
        <v>0</v>
      </c>
      <c r="N109" s="130" t="n">
        <f aca="false">IFERROR(SUMPRODUCT(MAX(('Rainbow Six'!$P$11:$P$32=$B109)*'Rainbow Six'!$J$11:$J$32)),0)</f>
        <v>0</v>
      </c>
      <c r="O109" s="130" t="n">
        <f aca="false">IFERROR(SUMPRODUCT(MAX((Warzone!$M$11:$M$42=$B109)*Warzone!$G$11:$G$42)),0)</f>
        <v>0</v>
      </c>
      <c r="P109" s="130" t="n">
        <f aca="false">IFERROR(SUMPRODUCT(MAX((Valorant!$N$11:$N$26=$B109)*Valorant!$H$11:$H$26)),0)</f>
        <v>0</v>
      </c>
      <c r="Q109" s="130" t="n">
        <f aca="false">IFERROR(SUMPRODUCT(MAX(('MLBB (MSC)'!$M$11:$M$35=$B109)*'MLBB (MSC)'!$G$11:$G$35)),0)</f>
        <v>0</v>
      </c>
      <c r="R109" s="130" t="n">
        <f aca="false">IFERROR(SUMPRODUCT(MAX(('Apex Legends'!$O$11:$O$50=$B109)*'Apex Legends'!$I$11:$I$50)),0)</f>
        <v>0</v>
      </c>
      <c r="S109" s="130" t="n">
        <f aca="false">IFERROR(SUMPRODUCT(MAX(('Honor of Kings'!$N$11:$N$30=$B109)*'Honor of Kings'!$H$11:$H$30)),0)</f>
        <v>0</v>
      </c>
      <c r="T109" s="130" t="n">
        <f aca="false">IFERROR(SUMPRODUCT(MAX((CrossFire!$L$11:$L$26=$B109)*CrossFire!$F$11:$F$26)),0)</f>
        <v>0</v>
      </c>
      <c r="U109" s="130" t="n">
        <f aca="false">IFERROR(SUMPRODUCT(MAX(('Free Fire'!$M$11:$M$34=$B109)*'Free Fire'!$G$11:$G$34)),0)</f>
        <v>0</v>
      </c>
      <c r="V109" s="130" t="n">
        <f aca="false">IFERROR(SUMPRODUCT(MAX(('EA FC 26'!$N$11:$N$46=$B109)*'EA FC 26'!$H$11:$H$46)),0)</f>
        <v>0</v>
      </c>
      <c r="W109" s="130" t="n">
        <f aca="false">IFERROR(SUMPRODUCT(MAX(('Black Ops 7'!$O$11:$O$26=$B109)*'Black Ops 7'!$J$11:$J$26)),0)</f>
        <v>0</v>
      </c>
      <c r="X109" s="130" t="n">
        <f aca="false">IFERROR(SUMPRODUCT(MAX(('Rocket League'!$P$11:$P$26=$B109)*'Rocket League'!$J$11:$J$26)),0)</f>
        <v>0</v>
      </c>
      <c r="Y109" s="130" t="n">
        <f aca="false">IFERROR(SUMPRODUCT(MAX(('Overwatch 2'!$L$11:$L$26=$B109)*'Overwatch 2'!$F$11:$F$26)),0)</f>
        <v>0</v>
      </c>
      <c r="Z109" s="130" t="n">
        <f aca="false">IFERROR(SUMPRODUCT(MAX((PUBG!$L$11:$L$34=$B109)*PUBG!$F$11:$F$34)),0)</f>
        <v>0</v>
      </c>
      <c r="AA109" s="130" t="n">
        <f aca="false">IFERROR(SUMPRODUCT(MAX(('MLBB Women'!$L$11:$L$26=$B109)*'MLBB Women'!$F$11:$F$26)),0)</f>
        <v>0</v>
      </c>
      <c r="AB109" s="130" t="n">
        <f aca="false">SUM(C109:AA109)</f>
        <v>0</v>
      </c>
      <c r="AC109" s="130"/>
      <c r="AD109" s="200" t="n">
        <f aca="false">AB109-AC109</f>
        <v>0</v>
      </c>
      <c r="AE109" s="82" t="str">
        <f aca="false">IF(AB109=0,"not started",IF(AD109=0,"reconciled",IF(AD109&gt;0,"CHECK NAMES","in progress")))</f>
        <v>not started</v>
      </c>
    </row>
    <row r="110" customFormat="false" ht="15" hidden="false" customHeight="true" outlineLevel="0" collapsed="false">
      <c r="B110" s="92" t="s">
        <v>220</v>
      </c>
      <c r="C110" s="130" t="n">
        <f aca="false">IFERROR(SUMIF(CS2!$L$11:$L$42,$B110,CS2!$F$11:$F$42),0)</f>
        <v>0</v>
      </c>
      <c r="D110" s="130" t="n">
        <f aca="false">IFERROR(SUMPRODUCT(MAX((Chess!$L$11:$L$32=$B110)*Chess!$F$11:$F$32)),0)</f>
        <v>0</v>
      </c>
      <c r="E110" s="130" t="n">
        <f aca="false">IFERROR(SUMPRODUCT(MAX((LoL!$L$11:$L$26=$B110)*LoL!$F$11:$F$26)),0)</f>
        <v>0</v>
      </c>
      <c r="F110" s="130" t="n">
        <f aca="false">IFERROR(SUMPRODUCT(MAX(('PUBG Mobile'!$L$11:$L$42=$B110)*'PUBG Mobile'!$F$11:$F$42)),0)</f>
        <v>0</v>
      </c>
      <c r="G110" s="130" t="n">
        <f aca="false">IFERROR(SUMPRODUCT(MAX(('Fortnite Reload'!$L$11:$L$50=$B110)*'Fortnite Reload'!$F$11:$F$50)),0)</f>
        <v>0</v>
      </c>
      <c r="H110" s="130" t="n">
        <f aca="false">IFERROR(SUMPRODUCT(MAX((Trackmania!$M$11:$M$42=$B110)*Trackmania!$G$11:$G$42)),0)</f>
        <v>0</v>
      </c>
      <c r="I110" s="130" t="n">
        <f aca="false">IFERROR(SUMPRODUCT(MAX(('Dota 2'!$N$11:$N$34=$B110)*'Dota 2'!$H$11:$H$34)),0)</f>
        <v>0</v>
      </c>
      <c r="J110" s="130" t="n">
        <f aca="false">IFERROR(SUMPRODUCT(MAX(('Tekken 8'!$N$11:$N$42=$B110)*'Tekken 8'!$H$11:$H$42)),0)</f>
        <v>0</v>
      </c>
      <c r="K110" s="130" t="n">
        <f aca="false">IFERROR(SUMPRODUCT(MAX(('Street Fighter 6'!$O$11:$O$42=$B110)*'Street Fighter 6'!$I$11:$I$42)),0)</f>
        <v>0</v>
      </c>
      <c r="L110" s="130" t="n">
        <f aca="false">IFERROR(SUMPRODUCT(MAX(('Fatal Fury CotW'!$L$11:$L$42=$B110)*'Fatal Fury CotW'!$F$11:$F$42)),0)</f>
        <v>0</v>
      </c>
      <c r="M110" s="130" t="n">
        <f aca="false">IFERROR(SUMPRODUCT(MAX((TFT!$N$11:$N$26=$B110)*TFT!$H$11:$H$26)),0)</f>
        <v>0</v>
      </c>
      <c r="N110" s="130" t="n">
        <f aca="false">IFERROR(SUMPRODUCT(MAX(('Rainbow Six'!$P$11:$P$32=$B110)*'Rainbow Six'!$J$11:$J$32)),0)</f>
        <v>0</v>
      </c>
      <c r="O110" s="130" t="n">
        <f aca="false">IFERROR(SUMPRODUCT(MAX((Warzone!$M$11:$M$42=$B110)*Warzone!$G$11:$G$42)),0)</f>
        <v>0</v>
      </c>
      <c r="P110" s="130" t="n">
        <f aca="false">IFERROR(SUMPRODUCT(MAX((Valorant!$N$11:$N$26=$B110)*Valorant!$H$11:$H$26)),0)</f>
        <v>0</v>
      </c>
      <c r="Q110" s="130" t="n">
        <f aca="false">IFERROR(SUMPRODUCT(MAX(('MLBB (MSC)'!$M$11:$M$35=$B110)*'MLBB (MSC)'!$G$11:$G$35)),0)</f>
        <v>0</v>
      </c>
      <c r="R110" s="130" t="n">
        <f aca="false">IFERROR(SUMPRODUCT(MAX(('Apex Legends'!$O$11:$O$50=$B110)*'Apex Legends'!$I$11:$I$50)),0)</f>
        <v>0</v>
      </c>
      <c r="S110" s="130" t="n">
        <f aca="false">IFERROR(SUMPRODUCT(MAX(('Honor of Kings'!$N$11:$N$30=$B110)*'Honor of Kings'!$H$11:$H$30)),0)</f>
        <v>0</v>
      </c>
      <c r="T110" s="130" t="n">
        <f aca="false">IFERROR(SUMPRODUCT(MAX((CrossFire!$L$11:$L$26=$B110)*CrossFire!$F$11:$F$26)),0)</f>
        <v>0</v>
      </c>
      <c r="U110" s="130" t="n">
        <f aca="false">IFERROR(SUMPRODUCT(MAX(('Free Fire'!$M$11:$M$34=$B110)*'Free Fire'!$G$11:$G$34)),0)</f>
        <v>0</v>
      </c>
      <c r="V110" s="130" t="n">
        <f aca="false">IFERROR(SUMPRODUCT(MAX(('EA FC 26'!$N$11:$N$46=$B110)*'EA FC 26'!$H$11:$H$46)),0)</f>
        <v>0</v>
      </c>
      <c r="W110" s="130" t="n">
        <f aca="false">IFERROR(SUMPRODUCT(MAX(('Black Ops 7'!$O$11:$O$26=$B110)*'Black Ops 7'!$J$11:$J$26)),0)</f>
        <v>0</v>
      </c>
      <c r="X110" s="130" t="n">
        <f aca="false">IFERROR(SUMPRODUCT(MAX(('Rocket League'!$P$11:$P$26=$B110)*'Rocket League'!$J$11:$J$26)),0)</f>
        <v>0</v>
      </c>
      <c r="Y110" s="130" t="n">
        <f aca="false">IFERROR(SUMPRODUCT(MAX(('Overwatch 2'!$L$11:$L$26=$B110)*'Overwatch 2'!$F$11:$F$26)),0)</f>
        <v>0</v>
      </c>
      <c r="Z110" s="130" t="n">
        <f aca="false">IFERROR(SUMPRODUCT(MAX((PUBG!$L$11:$L$34=$B110)*PUBG!$F$11:$F$34)),0)</f>
        <v>0</v>
      </c>
      <c r="AA110" s="130" t="n">
        <f aca="false">IFERROR(SUMPRODUCT(MAX(('MLBB Women'!$L$11:$L$26=$B110)*'MLBB Women'!$F$11:$F$26)),0)</f>
        <v>0</v>
      </c>
      <c r="AB110" s="130" t="n">
        <f aca="false">SUM(C110:AA110)</f>
        <v>0</v>
      </c>
      <c r="AC110" s="130"/>
      <c r="AD110" s="200" t="n">
        <f aca="false">AB110-AC110</f>
        <v>0</v>
      </c>
      <c r="AE110" s="82" t="str">
        <f aca="false">IF(AB110=0,"not started",IF(AD110=0,"reconciled",IF(AD110&gt;0,"CHECK NAMES","in progress")))</f>
        <v>not started</v>
      </c>
    </row>
    <row r="111" customFormat="false" ht="15" hidden="false" customHeight="true" outlineLevel="0" collapsed="false">
      <c r="B111" s="92" t="s">
        <v>320</v>
      </c>
      <c r="C111" s="130" t="n">
        <f aca="false">IFERROR(SUMIF(CS2!$L$11:$L$42,$B111,CS2!$F$11:$F$42),0)</f>
        <v>0</v>
      </c>
      <c r="D111" s="130" t="n">
        <f aca="false">IFERROR(SUMPRODUCT(MAX((Chess!$L$11:$L$32=$B111)*Chess!$F$11:$F$32)),0)</f>
        <v>0</v>
      </c>
      <c r="E111" s="130" t="n">
        <f aca="false">IFERROR(SUMPRODUCT(MAX((LoL!$L$11:$L$26=$B111)*LoL!$F$11:$F$26)),0)</f>
        <v>0</v>
      </c>
      <c r="F111" s="130" t="n">
        <f aca="false">IFERROR(SUMPRODUCT(MAX(('PUBG Mobile'!$L$11:$L$42=$B111)*'PUBG Mobile'!$F$11:$F$42)),0)</f>
        <v>0</v>
      </c>
      <c r="G111" s="130" t="n">
        <f aca="false">IFERROR(SUMPRODUCT(MAX(('Fortnite Reload'!$L$11:$L$50=$B111)*'Fortnite Reload'!$F$11:$F$50)),0)</f>
        <v>0</v>
      </c>
      <c r="H111" s="130" t="n">
        <f aca="false">IFERROR(SUMPRODUCT(MAX((Trackmania!$M$11:$M$42=$B111)*Trackmania!$G$11:$G$42)),0)</f>
        <v>0</v>
      </c>
      <c r="I111" s="130" t="n">
        <f aca="false">IFERROR(SUMPRODUCT(MAX(('Dota 2'!$N$11:$N$34=$B111)*'Dota 2'!$H$11:$H$34)),0)</f>
        <v>0</v>
      </c>
      <c r="J111" s="130" t="n">
        <f aca="false">IFERROR(SUMPRODUCT(MAX(('Tekken 8'!$N$11:$N$42=$B111)*'Tekken 8'!$H$11:$H$42)),0)</f>
        <v>0</v>
      </c>
      <c r="K111" s="130" t="n">
        <f aca="false">IFERROR(SUMPRODUCT(MAX(('Street Fighter 6'!$O$11:$O$42=$B111)*'Street Fighter 6'!$I$11:$I$42)),0)</f>
        <v>0</v>
      </c>
      <c r="L111" s="130" t="n">
        <f aca="false">IFERROR(SUMPRODUCT(MAX(('Fatal Fury CotW'!$L$11:$L$42=$B111)*'Fatal Fury CotW'!$F$11:$F$42)),0)</f>
        <v>0</v>
      </c>
      <c r="M111" s="130" t="n">
        <f aca="false">IFERROR(SUMPRODUCT(MAX((TFT!$N$11:$N$26=$B111)*TFT!$H$11:$H$26)),0)</f>
        <v>0</v>
      </c>
      <c r="N111" s="130" t="n">
        <f aca="false">IFERROR(SUMPRODUCT(MAX(('Rainbow Six'!$P$11:$P$32=$B111)*'Rainbow Six'!$J$11:$J$32)),0)</f>
        <v>0</v>
      </c>
      <c r="O111" s="130" t="n">
        <f aca="false">IFERROR(SUMPRODUCT(MAX((Warzone!$M$11:$M$42=$B111)*Warzone!$G$11:$G$42)),0)</f>
        <v>0</v>
      </c>
      <c r="P111" s="130" t="n">
        <f aca="false">IFERROR(SUMPRODUCT(MAX((Valorant!$N$11:$N$26=$B111)*Valorant!$H$11:$H$26)),0)</f>
        <v>0</v>
      </c>
      <c r="Q111" s="130" t="n">
        <f aca="false">IFERROR(SUMPRODUCT(MAX(('MLBB (MSC)'!$M$11:$M$35=$B111)*'MLBB (MSC)'!$G$11:$G$35)),0)</f>
        <v>0</v>
      </c>
      <c r="R111" s="130" t="n">
        <f aca="false">IFERROR(SUMPRODUCT(MAX(('Apex Legends'!$O$11:$O$50=$B111)*'Apex Legends'!$I$11:$I$50)),0)</f>
        <v>0</v>
      </c>
      <c r="S111" s="130" t="n">
        <f aca="false">IFERROR(SUMPRODUCT(MAX(('Honor of Kings'!$N$11:$N$30=$B111)*'Honor of Kings'!$H$11:$H$30)),0)</f>
        <v>0</v>
      </c>
      <c r="T111" s="130" t="n">
        <f aca="false">IFERROR(SUMPRODUCT(MAX((CrossFire!$L$11:$L$26=$B111)*CrossFire!$F$11:$F$26)),0)</f>
        <v>0</v>
      </c>
      <c r="U111" s="130" t="n">
        <f aca="false">IFERROR(SUMPRODUCT(MAX(('Free Fire'!$M$11:$M$34=$B111)*'Free Fire'!$G$11:$G$34)),0)</f>
        <v>0</v>
      </c>
      <c r="V111" s="130" t="n">
        <f aca="false">IFERROR(SUMPRODUCT(MAX(('EA FC 26'!$N$11:$N$46=$B111)*'EA FC 26'!$H$11:$H$46)),0)</f>
        <v>0</v>
      </c>
      <c r="W111" s="130" t="n">
        <f aca="false">IFERROR(SUMPRODUCT(MAX(('Black Ops 7'!$O$11:$O$26=$B111)*'Black Ops 7'!$J$11:$J$26)),0)</f>
        <v>0</v>
      </c>
      <c r="X111" s="130" t="n">
        <f aca="false">IFERROR(SUMPRODUCT(MAX(('Rocket League'!$P$11:$P$26=$B111)*'Rocket League'!$J$11:$J$26)),0)</f>
        <v>0</v>
      </c>
      <c r="Y111" s="130" t="n">
        <f aca="false">IFERROR(SUMPRODUCT(MAX(('Overwatch 2'!$L$11:$L$26=$B111)*'Overwatch 2'!$F$11:$F$26)),0)</f>
        <v>0</v>
      </c>
      <c r="Z111" s="130" t="n">
        <f aca="false">IFERROR(SUMPRODUCT(MAX((PUBG!$L$11:$L$34=$B111)*PUBG!$F$11:$F$34)),0)</f>
        <v>0</v>
      </c>
      <c r="AA111" s="130" t="n">
        <f aca="false">IFERROR(SUMPRODUCT(MAX(('MLBB Women'!$L$11:$L$26=$B111)*'MLBB Women'!$F$11:$F$26)),0)</f>
        <v>0</v>
      </c>
      <c r="AB111" s="130" t="n">
        <f aca="false">SUM(C111:AA111)</f>
        <v>0</v>
      </c>
      <c r="AC111" s="130"/>
      <c r="AD111" s="200" t="n">
        <f aca="false">AB111-AC111</f>
        <v>0</v>
      </c>
      <c r="AE111" s="82" t="str">
        <f aca="false">IF(AB111=0,"not started",IF(AD111=0,"reconciled",IF(AD111&gt;0,"CHECK NAMES","in progress")))</f>
        <v>not started</v>
      </c>
    </row>
    <row r="112" customFormat="false" ht="15" hidden="false" customHeight="true" outlineLevel="0" collapsed="false">
      <c r="B112" s="92" t="s">
        <v>322</v>
      </c>
      <c r="C112" s="130" t="n">
        <f aca="false">IFERROR(SUMIF(CS2!$L$11:$L$42,$B112,CS2!$F$11:$F$42),0)</f>
        <v>0</v>
      </c>
      <c r="D112" s="130" t="n">
        <f aca="false">IFERROR(SUMPRODUCT(MAX((Chess!$L$11:$L$32=$B112)*Chess!$F$11:$F$32)),0)</f>
        <v>0</v>
      </c>
      <c r="E112" s="130" t="n">
        <f aca="false">IFERROR(SUMPRODUCT(MAX((LoL!$L$11:$L$26=$B112)*LoL!$F$11:$F$26)),0)</f>
        <v>0</v>
      </c>
      <c r="F112" s="130" t="n">
        <f aca="false">IFERROR(SUMPRODUCT(MAX(('PUBG Mobile'!$L$11:$L$42=$B112)*'PUBG Mobile'!$F$11:$F$42)),0)</f>
        <v>0</v>
      </c>
      <c r="G112" s="130" t="n">
        <f aca="false">IFERROR(SUMPRODUCT(MAX(('Fortnite Reload'!$L$11:$L$50=$B112)*'Fortnite Reload'!$F$11:$F$50)),0)</f>
        <v>0</v>
      </c>
      <c r="H112" s="130" t="n">
        <f aca="false">IFERROR(SUMPRODUCT(MAX((Trackmania!$M$11:$M$42=$B112)*Trackmania!$G$11:$G$42)),0)</f>
        <v>0</v>
      </c>
      <c r="I112" s="130" t="n">
        <f aca="false">IFERROR(SUMPRODUCT(MAX(('Dota 2'!$N$11:$N$34=$B112)*'Dota 2'!$H$11:$H$34)),0)</f>
        <v>0</v>
      </c>
      <c r="J112" s="130" t="n">
        <f aca="false">IFERROR(SUMPRODUCT(MAX(('Tekken 8'!$N$11:$N$42=$B112)*'Tekken 8'!$H$11:$H$42)),0)</f>
        <v>0</v>
      </c>
      <c r="K112" s="130" t="n">
        <f aca="false">IFERROR(SUMPRODUCT(MAX(('Street Fighter 6'!$O$11:$O$42=$B112)*'Street Fighter 6'!$I$11:$I$42)),0)</f>
        <v>0</v>
      </c>
      <c r="L112" s="130" t="n">
        <f aca="false">IFERROR(SUMPRODUCT(MAX(('Fatal Fury CotW'!$L$11:$L$42=$B112)*'Fatal Fury CotW'!$F$11:$F$42)),0)</f>
        <v>0</v>
      </c>
      <c r="M112" s="130" t="n">
        <f aca="false">IFERROR(SUMPRODUCT(MAX((TFT!$N$11:$N$26=$B112)*TFT!$H$11:$H$26)),0)</f>
        <v>0</v>
      </c>
      <c r="N112" s="130" t="n">
        <f aca="false">IFERROR(SUMPRODUCT(MAX(('Rainbow Six'!$P$11:$P$32=$B112)*'Rainbow Six'!$J$11:$J$32)),0)</f>
        <v>0</v>
      </c>
      <c r="O112" s="130" t="n">
        <f aca="false">IFERROR(SUMPRODUCT(MAX((Warzone!$M$11:$M$42=$B112)*Warzone!$G$11:$G$42)),0)</f>
        <v>0</v>
      </c>
      <c r="P112" s="130" t="n">
        <f aca="false">IFERROR(SUMPRODUCT(MAX((Valorant!$N$11:$N$26=$B112)*Valorant!$H$11:$H$26)),0)</f>
        <v>0</v>
      </c>
      <c r="Q112" s="130" t="n">
        <f aca="false">IFERROR(SUMPRODUCT(MAX(('MLBB (MSC)'!$M$11:$M$35=$B112)*'MLBB (MSC)'!$G$11:$G$35)),0)</f>
        <v>0</v>
      </c>
      <c r="R112" s="130" t="n">
        <f aca="false">IFERROR(SUMPRODUCT(MAX(('Apex Legends'!$O$11:$O$50=$B112)*'Apex Legends'!$I$11:$I$50)),0)</f>
        <v>0</v>
      </c>
      <c r="S112" s="130" t="n">
        <f aca="false">IFERROR(SUMPRODUCT(MAX(('Honor of Kings'!$N$11:$N$30=$B112)*'Honor of Kings'!$H$11:$H$30)),0)</f>
        <v>0</v>
      </c>
      <c r="T112" s="130" t="n">
        <f aca="false">IFERROR(SUMPRODUCT(MAX((CrossFire!$L$11:$L$26=$B112)*CrossFire!$F$11:$F$26)),0)</f>
        <v>0</v>
      </c>
      <c r="U112" s="130" t="n">
        <f aca="false">IFERROR(SUMPRODUCT(MAX(('Free Fire'!$M$11:$M$34=$B112)*'Free Fire'!$G$11:$G$34)),0)</f>
        <v>0</v>
      </c>
      <c r="V112" s="130" t="n">
        <f aca="false">IFERROR(SUMPRODUCT(MAX(('EA FC 26'!$N$11:$N$46=$B112)*'EA FC 26'!$H$11:$H$46)),0)</f>
        <v>0</v>
      </c>
      <c r="W112" s="130" t="n">
        <f aca="false">IFERROR(SUMPRODUCT(MAX(('Black Ops 7'!$O$11:$O$26=$B112)*'Black Ops 7'!$J$11:$J$26)),0)</f>
        <v>0</v>
      </c>
      <c r="X112" s="130" t="n">
        <f aca="false">IFERROR(SUMPRODUCT(MAX(('Rocket League'!$P$11:$P$26=$B112)*'Rocket League'!$J$11:$J$26)),0)</f>
        <v>0</v>
      </c>
      <c r="Y112" s="130" t="n">
        <f aca="false">IFERROR(SUMPRODUCT(MAX(('Overwatch 2'!$L$11:$L$26=$B112)*'Overwatch 2'!$F$11:$F$26)),0)</f>
        <v>0</v>
      </c>
      <c r="Z112" s="130" t="n">
        <f aca="false">IFERROR(SUMPRODUCT(MAX((PUBG!$L$11:$L$34=$B112)*PUBG!$F$11:$F$34)),0)</f>
        <v>0</v>
      </c>
      <c r="AA112" s="130" t="n">
        <f aca="false">IFERROR(SUMPRODUCT(MAX(('MLBB Women'!$L$11:$L$26=$B112)*'MLBB Women'!$F$11:$F$26)),0)</f>
        <v>0</v>
      </c>
      <c r="AB112" s="130" t="n">
        <f aca="false">SUM(C112:AA112)</f>
        <v>0</v>
      </c>
      <c r="AC112" s="130"/>
      <c r="AD112" s="200" t="n">
        <f aca="false">AB112-AC112</f>
        <v>0</v>
      </c>
      <c r="AE112" s="82" t="str">
        <f aca="false">IF(AB112=0,"not started",IF(AD112=0,"reconciled",IF(AD112&gt;0,"CHECK NAMES","in progress")))</f>
        <v>not started</v>
      </c>
    </row>
    <row r="113" customFormat="false" ht="15" hidden="false" customHeight="true" outlineLevel="0" collapsed="false">
      <c r="B113" s="92" t="s">
        <v>364</v>
      </c>
      <c r="C113" s="130" t="n">
        <f aca="false">IFERROR(SUMIF(CS2!$L$11:$L$42,$B113,CS2!$F$11:$F$42),0)</f>
        <v>0</v>
      </c>
      <c r="D113" s="130" t="n">
        <f aca="false">IFERROR(SUMPRODUCT(MAX((Chess!$L$11:$L$32=$B113)*Chess!$F$11:$F$32)),0)</f>
        <v>0</v>
      </c>
      <c r="E113" s="130" t="n">
        <f aca="false">IFERROR(SUMPRODUCT(MAX((LoL!$L$11:$L$26=$B113)*LoL!$F$11:$F$26)),0)</f>
        <v>0</v>
      </c>
      <c r="F113" s="130" t="n">
        <f aca="false">IFERROR(SUMPRODUCT(MAX(('PUBG Mobile'!$L$11:$L$42=$B113)*'PUBG Mobile'!$F$11:$F$42)),0)</f>
        <v>0</v>
      </c>
      <c r="G113" s="130" t="n">
        <f aca="false">IFERROR(SUMPRODUCT(MAX(('Fortnite Reload'!$L$11:$L$50=$B113)*'Fortnite Reload'!$F$11:$F$50)),0)</f>
        <v>0</v>
      </c>
      <c r="H113" s="130" t="n">
        <f aca="false">IFERROR(SUMPRODUCT(MAX((Trackmania!$M$11:$M$42=$B113)*Trackmania!$G$11:$G$42)),0)</f>
        <v>0</v>
      </c>
      <c r="I113" s="130" t="n">
        <f aca="false">IFERROR(SUMPRODUCT(MAX(('Dota 2'!$N$11:$N$34=$B113)*'Dota 2'!$H$11:$H$34)),0)</f>
        <v>0</v>
      </c>
      <c r="J113" s="130" t="n">
        <f aca="false">IFERROR(SUMPRODUCT(MAX(('Tekken 8'!$N$11:$N$42=$B113)*'Tekken 8'!$H$11:$H$42)),0)</f>
        <v>0</v>
      </c>
      <c r="K113" s="130" t="n">
        <f aca="false">IFERROR(SUMPRODUCT(MAX(('Street Fighter 6'!$O$11:$O$42=$B113)*'Street Fighter 6'!$I$11:$I$42)),0)</f>
        <v>0</v>
      </c>
      <c r="L113" s="130" t="n">
        <f aca="false">IFERROR(SUMPRODUCT(MAX(('Fatal Fury CotW'!$L$11:$L$42=$B113)*'Fatal Fury CotW'!$F$11:$F$42)),0)</f>
        <v>0</v>
      </c>
      <c r="M113" s="130" t="n">
        <f aca="false">IFERROR(SUMPRODUCT(MAX((TFT!$N$11:$N$26=$B113)*TFT!$H$11:$H$26)),0)</f>
        <v>0</v>
      </c>
      <c r="N113" s="130" t="n">
        <f aca="false">IFERROR(SUMPRODUCT(MAX(('Rainbow Six'!$P$11:$P$32=$B113)*'Rainbow Six'!$J$11:$J$32)),0)</f>
        <v>0</v>
      </c>
      <c r="O113" s="130" t="n">
        <f aca="false">IFERROR(SUMPRODUCT(MAX((Warzone!$M$11:$M$42=$B113)*Warzone!$G$11:$G$42)),0)</f>
        <v>0</v>
      </c>
      <c r="P113" s="130" t="n">
        <f aca="false">IFERROR(SUMPRODUCT(MAX((Valorant!$N$11:$N$26=$B113)*Valorant!$H$11:$H$26)),0)</f>
        <v>0</v>
      </c>
      <c r="Q113" s="130" t="n">
        <f aca="false">IFERROR(SUMPRODUCT(MAX(('MLBB (MSC)'!$M$11:$M$35=$B113)*'MLBB (MSC)'!$G$11:$G$35)),0)</f>
        <v>0</v>
      </c>
      <c r="R113" s="130" t="n">
        <f aca="false">IFERROR(SUMPRODUCT(MAX(('Apex Legends'!$O$11:$O$50=$B113)*'Apex Legends'!$I$11:$I$50)),0)</f>
        <v>0</v>
      </c>
      <c r="S113" s="130" t="n">
        <f aca="false">IFERROR(SUMPRODUCT(MAX(('Honor of Kings'!$N$11:$N$30=$B113)*'Honor of Kings'!$H$11:$H$30)),0)</f>
        <v>0</v>
      </c>
      <c r="T113" s="130" t="n">
        <f aca="false">IFERROR(SUMPRODUCT(MAX((CrossFire!$L$11:$L$26=$B113)*CrossFire!$F$11:$F$26)),0)</f>
        <v>0</v>
      </c>
      <c r="U113" s="130" t="n">
        <f aca="false">IFERROR(SUMPRODUCT(MAX(('Free Fire'!$M$11:$M$34=$B113)*'Free Fire'!$G$11:$G$34)),0)</f>
        <v>0</v>
      </c>
      <c r="V113" s="130" t="n">
        <f aca="false">IFERROR(SUMPRODUCT(MAX(('EA FC 26'!$N$11:$N$46=$B113)*'EA FC 26'!$H$11:$H$46)),0)</f>
        <v>0</v>
      </c>
      <c r="W113" s="130" t="n">
        <f aca="false">IFERROR(SUMPRODUCT(MAX(('Black Ops 7'!$O$11:$O$26=$B113)*'Black Ops 7'!$J$11:$J$26)),0)</f>
        <v>0</v>
      </c>
      <c r="X113" s="130" t="n">
        <f aca="false">IFERROR(SUMPRODUCT(MAX(('Rocket League'!$P$11:$P$26=$B113)*'Rocket League'!$J$11:$J$26)),0)</f>
        <v>0</v>
      </c>
      <c r="Y113" s="130" t="n">
        <f aca="false">IFERROR(SUMPRODUCT(MAX(('Overwatch 2'!$L$11:$L$26=$B113)*'Overwatch 2'!$F$11:$F$26)),0)</f>
        <v>0</v>
      </c>
      <c r="Z113" s="130" t="n">
        <f aca="false">IFERROR(SUMPRODUCT(MAX((PUBG!$L$11:$L$34=$B113)*PUBG!$F$11:$F$34)),0)</f>
        <v>0</v>
      </c>
      <c r="AA113" s="130" t="n">
        <f aca="false">IFERROR(SUMPRODUCT(MAX(('MLBB Women'!$L$11:$L$26=$B113)*'MLBB Women'!$F$11:$F$26)),0)</f>
        <v>0</v>
      </c>
      <c r="AB113" s="130" t="n">
        <f aca="false">SUM(C113:AA113)</f>
        <v>0</v>
      </c>
      <c r="AC113" s="130"/>
      <c r="AD113" s="200" t="n">
        <f aca="false">AB113-AC113</f>
        <v>0</v>
      </c>
      <c r="AE113" s="82" t="str">
        <f aca="false">IF(AB113=0,"not started",IF(AD113=0,"reconciled",IF(AD113&gt;0,"CHECK NAMES","in progress")))</f>
        <v>not started</v>
      </c>
    </row>
    <row r="114" customFormat="false" ht="15" hidden="false" customHeight="true" outlineLevel="0" collapsed="false">
      <c r="B114" s="92" t="s">
        <v>324</v>
      </c>
      <c r="C114" s="130" t="n">
        <f aca="false">IFERROR(SUMIF(CS2!$L$11:$L$42,$B114,CS2!$F$11:$F$42),0)</f>
        <v>0</v>
      </c>
      <c r="D114" s="130" t="n">
        <f aca="false">IFERROR(SUMPRODUCT(MAX((Chess!$L$11:$L$32=$B114)*Chess!$F$11:$F$32)),0)</f>
        <v>0</v>
      </c>
      <c r="E114" s="130" t="n">
        <f aca="false">IFERROR(SUMPRODUCT(MAX((LoL!$L$11:$L$26=$B114)*LoL!$F$11:$F$26)),0)</f>
        <v>0</v>
      </c>
      <c r="F114" s="130" t="n">
        <f aca="false">IFERROR(SUMPRODUCT(MAX(('PUBG Mobile'!$L$11:$L$42=$B114)*'PUBG Mobile'!$F$11:$F$42)),0)</f>
        <v>0</v>
      </c>
      <c r="G114" s="130" t="n">
        <f aca="false">IFERROR(SUMPRODUCT(MAX(('Fortnite Reload'!$L$11:$L$50=$B114)*'Fortnite Reload'!$F$11:$F$50)),0)</f>
        <v>0</v>
      </c>
      <c r="H114" s="130" t="n">
        <f aca="false">IFERROR(SUMPRODUCT(MAX((Trackmania!$M$11:$M$42=$B114)*Trackmania!$G$11:$G$42)),0)</f>
        <v>0</v>
      </c>
      <c r="I114" s="130" t="n">
        <f aca="false">IFERROR(SUMPRODUCT(MAX(('Dota 2'!$N$11:$N$34=$B114)*'Dota 2'!$H$11:$H$34)),0)</f>
        <v>0</v>
      </c>
      <c r="J114" s="130" t="n">
        <f aca="false">IFERROR(SUMPRODUCT(MAX(('Tekken 8'!$N$11:$N$42=$B114)*'Tekken 8'!$H$11:$H$42)),0)</f>
        <v>0</v>
      </c>
      <c r="K114" s="130" t="n">
        <f aca="false">IFERROR(SUMPRODUCT(MAX(('Street Fighter 6'!$O$11:$O$42=$B114)*'Street Fighter 6'!$I$11:$I$42)),0)</f>
        <v>0</v>
      </c>
      <c r="L114" s="130" t="n">
        <f aca="false">IFERROR(SUMPRODUCT(MAX(('Fatal Fury CotW'!$L$11:$L$42=$B114)*'Fatal Fury CotW'!$F$11:$F$42)),0)</f>
        <v>0</v>
      </c>
      <c r="M114" s="130" t="n">
        <f aca="false">IFERROR(SUMPRODUCT(MAX((TFT!$N$11:$N$26=$B114)*TFT!$H$11:$H$26)),0)</f>
        <v>0</v>
      </c>
      <c r="N114" s="130" t="n">
        <f aca="false">IFERROR(SUMPRODUCT(MAX(('Rainbow Six'!$P$11:$P$32=$B114)*'Rainbow Six'!$J$11:$J$32)),0)</f>
        <v>0</v>
      </c>
      <c r="O114" s="130" t="n">
        <f aca="false">IFERROR(SUMPRODUCT(MAX((Warzone!$M$11:$M$42=$B114)*Warzone!$G$11:$G$42)),0)</f>
        <v>0</v>
      </c>
      <c r="P114" s="130" t="n">
        <f aca="false">IFERROR(SUMPRODUCT(MAX((Valorant!$N$11:$N$26=$B114)*Valorant!$H$11:$H$26)),0)</f>
        <v>0</v>
      </c>
      <c r="Q114" s="130" t="n">
        <f aca="false">IFERROR(SUMPRODUCT(MAX(('MLBB (MSC)'!$M$11:$M$35=$B114)*'MLBB (MSC)'!$G$11:$G$35)),0)</f>
        <v>0</v>
      </c>
      <c r="R114" s="130" t="n">
        <f aca="false">IFERROR(SUMPRODUCT(MAX(('Apex Legends'!$O$11:$O$50=$B114)*'Apex Legends'!$I$11:$I$50)),0)</f>
        <v>0</v>
      </c>
      <c r="S114" s="130" t="n">
        <f aca="false">IFERROR(SUMPRODUCT(MAX(('Honor of Kings'!$N$11:$N$30=$B114)*'Honor of Kings'!$H$11:$H$30)),0)</f>
        <v>0</v>
      </c>
      <c r="T114" s="130" t="n">
        <f aca="false">IFERROR(SUMPRODUCT(MAX((CrossFire!$L$11:$L$26=$B114)*CrossFire!$F$11:$F$26)),0)</f>
        <v>0</v>
      </c>
      <c r="U114" s="130" t="n">
        <f aca="false">IFERROR(SUMPRODUCT(MAX(('Free Fire'!$M$11:$M$34=$B114)*'Free Fire'!$G$11:$G$34)),0)</f>
        <v>0</v>
      </c>
      <c r="V114" s="130" t="n">
        <f aca="false">IFERROR(SUMPRODUCT(MAX(('EA FC 26'!$N$11:$N$46=$B114)*'EA FC 26'!$H$11:$H$46)),0)</f>
        <v>0</v>
      </c>
      <c r="W114" s="130" t="n">
        <f aca="false">IFERROR(SUMPRODUCT(MAX(('Black Ops 7'!$O$11:$O$26=$B114)*'Black Ops 7'!$J$11:$J$26)),0)</f>
        <v>0</v>
      </c>
      <c r="X114" s="130" t="n">
        <f aca="false">IFERROR(SUMPRODUCT(MAX(('Rocket League'!$P$11:$P$26=$B114)*'Rocket League'!$J$11:$J$26)),0)</f>
        <v>0</v>
      </c>
      <c r="Y114" s="130" t="n">
        <f aca="false">IFERROR(SUMPRODUCT(MAX(('Overwatch 2'!$L$11:$L$26=$B114)*'Overwatch 2'!$F$11:$F$26)),0)</f>
        <v>0</v>
      </c>
      <c r="Z114" s="130" t="n">
        <f aca="false">IFERROR(SUMPRODUCT(MAX((PUBG!$L$11:$L$34=$B114)*PUBG!$F$11:$F$34)),0)</f>
        <v>0</v>
      </c>
      <c r="AA114" s="130" t="n">
        <f aca="false">IFERROR(SUMPRODUCT(MAX(('MLBB Women'!$L$11:$L$26=$B114)*'MLBB Women'!$F$11:$F$26)),0)</f>
        <v>0</v>
      </c>
      <c r="AB114" s="130" t="n">
        <f aca="false">SUM(C114:AA114)</f>
        <v>0</v>
      </c>
      <c r="AC114" s="130"/>
      <c r="AD114" s="200" t="n">
        <f aca="false">AB114-AC114</f>
        <v>0</v>
      </c>
      <c r="AE114" s="82" t="str">
        <f aca="false">IF(AB114=0,"not started",IF(AD114=0,"reconciled",IF(AD114&gt;0,"CHECK NAMES","in progress")))</f>
        <v>not started</v>
      </c>
    </row>
    <row r="115" customFormat="false" ht="15" hidden="false" customHeight="true" outlineLevel="0" collapsed="false">
      <c r="B115" s="92" t="s">
        <v>368</v>
      </c>
      <c r="C115" s="130" t="n">
        <f aca="false">IFERROR(SUMIF(CS2!$L$11:$L$42,$B115,CS2!$F$11:$F$42),0)</f>
        <v>0</v>
      </c>
      <c r="D115" s="130" t="n">
        <f aca="false">IFERROR(SUMPRODUCT(MAX((Chess!$L$11:$L$32=$B115)*Chess!$F$11:$F$32)),0)</f>
        <v>0</v>
      </c>
      <c r="E115" s="130" t="n">
        <f aca="false">IFERROR(SUMPRODUCT(MAX((LoL!$L$11:$L$26=$B115)*LoL!$F$11:$F$26)),0)</f>
        <v>0</v>
      </c>
      <c r="F115" s="130" t="n">
        <f aca="false">IFERROR(SUMPRODUCT(MAX(('PUBG Mobile'!$L$11:$L$42=$B115)*'PUBG Mobile'!$F$11:$F$42)),0)</f>
        <v>0</v>
      </c>
      <c r="G115" s="130" t="n">
        <f aca="false">IFERROR(SUMPRODUCT(MAX(('Fortnite Reload'!$L$11:$L$50=$B115)*'Fortnite Reload'!$F$11:$F$50)),0)</f>
        <v>0</v>
      </c>
      <c r="H115" s="130" t="n">
        <f aca="false">IFERROR(SUMPRODUCT(MAX((Trackmania!$M$11:$M$42=$B115)*Trackmania!$G$11:$G$42)),0)</f>
        <v>0</v>
      </c>
      <c r="I115" s="130" t="n">
        <f aca="false">IFERROR(SUMPRODUCT(MAX(('Dota 2'!$N$11:$N$34=$B115)*'Dota 2'!$H$11:$H$34)),0)</f>
        <v>0</v>
      </c>
      <c r="J115" s="130" t="n">
        <f aca="false">IFERROR(SUMPRODUCT(MAX(('Tekken 8'!$N$11:$N$42=$B115)*'Tekken 8'!$H$11:$H$42)),0)</f>
        <v>0</v>
      </c>
      <c r="K115" s="130" t="n">
        <f aca="false">IFERROR(SUMPRODUCT(MAX(('Street Fighter 6'!$O$11:$O$42=$B115)*'Street Fighter 6'!$I$11:$I$42)),0)</f>
        <v>0</v>
      </c>
      <c r="L115" s="130" t="n">
        <f aca="false">IFERROR(SUMPRODUCT(MAX(('Fatal Fury CotW'!$L$11:$L$42=$B115)*'Fatal Fury CotW'!$F$11:$F$42)),0)</f>
        <v>0</v>
      </c>
      <c r="M115" s="130" t="n">
        <f aca="false">IFERROR(SUMPRODUCT(MAX((TFT!$N$11:$N$26=$B115)*TFT!$H$11:$H$26)),0)</f>
        <v>0</v>
      </c>
      <c r="N115" s="130" t="n">
        <f aca="false">IFERROR(SUMPRODUCT(MAX(('Rainbow Six'!$P$11:$P$32=$B115)*'Rainbow Six'!$J$11:$J$32)),0)</f>
        <v>0</v>
      </c>
      <c r="O115" s="130" t="n">
        <f aca="false">IFERROR(SUMPRODUCT(MAX((Warzone!$M$11:$M$42=$B115)*Warzone!$G$11:$G$42)),0)</f>
        <v>0</v>
      </c>
      <c r="P115" s="130" t="n">
        <f aca="false">IFERROR(SUMPRODUCT(MAX((Valorant!$N$11:$N$26=$B115)*Valorant!$H$11:$H$26)),0)</f>
        <v>0</v>
      </c>
      <c r="Q115" s="130" t="n">
        <f aca="false">IFERROR(SUMPRODUCT(MAX(('MLBB (MSC)'!$M$11:$M$35=$B115)*'MLBB (MSC)'!$G$11:$G$35)),0)</f>
        <v>0</v>
      </c>
      <c r="R115" s="130" t="n">
        <f aca="false">IFERROR(SUMPRODUCT(MAX(('Apex Legends'!$O$11:$O$50=$B115)*'Apex Legends'!$I$11:$I$50)),0)</f>
        <v>0</v>
      </c>
      <c r="S115" s="130" t="n">
        <f aca="false">IFERROR(SUMPRODUCT(MAX(('Honor of Kings'!$N$11:$N$30=$B115)*'Honor of Kings'!$H$11:$H$30)),0)</f>
        <v>0</v>
      </c>
      <c r="T115" s="130" t="n">
        <f aca="false">IFERROR(SUMPRODUCT(MAX((CrossFire!$L$11:$L$26=$B115)*CrossFire!$F$11:$F$26)),0)</f>
        <v>0</v>
      </c>
      <c r="U115" s="130" t="n">
        <f aca="false">IFERROR(SUMPRODUCT(MAX(('Free Fire'!$M$11:$M$34=$B115)*'Free Fire'!$G$11:$G$34)),0)</f>
        <v>0</v>
      </c>
      <c r="V115" s="130" t="n">
        <f aca="false">IFERROR(SUMPRODUCT(MAX(('EA FC 26'!$N$11:$N$46=$B115)*'EA FC 26'!$H$11:$H$46)),0)</f>
        <v>0</v>
      </c>
      <c r="W115" s="130" t="n">
        <f aca="false">IFERROR(SUMPRODUCT(MAX(('Black Ops 7'!$O$11:$O$26=$B115)*'Black Ops 7'!$J$11:$J$26)),0)</f>
        <v>0</v>
      </c>
      <c r="X115" s="130" t="n">
        <f aca="false">IFERROR(SUMPRODUCT(MAX(('Rocket League'!$P$11:$P$26=$B115)*'Rocket League'!$J$11:$J$26)),0)</f>
        <v>0</v>
      </c>
      <c r="Y115" s="130" t="n">
        <f aca="false">IFERROR(SUMPRODUCT(MAX(('Overwatch 2'!$L$11:$L$26=$B115)*'Overwatch 2'!$F$11:$F$26)),0)</f>
        <v>0</v>
      </c>
      <c r="Z115" s="130" t="n">
        <f aca="false">IFERROR(SUMPRODUCT(MAX((PUBG!$L$11:$L$34=$B115)*PUBG!$F$11:$F$34)),0)</f>
        <v>0</v>
      </c>
      <c r="AA115" s="130" t="n">
        <f aca="false">IFERROR(SUMPRODUCT(MAX(('MLBB Women'!$L$11:$L$26=$B115)*'MLBB Women'!$F$11:$F$26)),0)</f>
        <v>0</v>
      </c>
      <c r="AB115" s="130" t="n">
        <f aca="false">SUM(C115:AA115)</f>
        <v>0</v>
      </c>
      <c r="AC115" s="130"/>
      <c r="AD115" s="200" t="n">
        <f aca="false">AB115-AC115</f>
        <v>0</v>
      </c>
      <c r="AE115" s="82" t="str">
        <f aca="false">IF(AB115=0,"not started",IF(AD115=0,"reconciled",IF(AD115&gt;0,"CHECK NAMES","in progress")))</f>
        <v>not started</v>
      </c>
    </row>
    <row r="116" customFormat="false" ht="15" hidden="false" customHeight="true" outlineLevel="0" collapsed="false">
      <c r="B116" s="92" t="s">
        <v>288</v>
      </c>
      <c r="C116" s="130" t="n">
        <f aca="false">IFERROR(SUMIF(CS2!$L$11:$L$42,$B116,CS2!$F$11:$F$42),0)</f>
        <v>0</v>
      </c>
      <c r="D116" s="130" t="n">
        <f aca="false">IFERROR(SUMPRODUCT(MAX((Chess!$L$11:$L$32=$B116)*Chess!$F$11:$F$32)),0)</f>
        <v>0</v>
      </c>
      <c r="E116" s="130" t="n">
        <f aca="false">IFERROR(SUMPRODUCT(MAX((LoL!$L$11:$L$26=$B116)*LoL!$F$11:$F$26)),0)</f>
        <v>0</v>
      </c>
      <c r="F116" s="130" t="n">
        <f aca="false">IFERROR(SUMPRODUCT(MAX(('PUBG Mobile'!$L$11:$L$42=$B116)*'PUBG Mobile'!$F$11:$F$42)),0)</f>
        <v>0</v>
      </c>
      <c r="G116" s="130" t="n">
        <f aca="false">IFERROR(SUMPRODUCT(MAX(('Fortnite Reload'!$L$11:$L$50=$B116)*'Fortnite Reload'!$F$11:$F$50)),0)</f>
        <v>0</v>
      </c>
      <c r="H116" s="130" t="n">
        <f aca="false">IFERROR(SUMPRODUCT(MAX((Trackmania!$M$11:$M$42=$B116)*Trackmania!$G$11:$G$42)),0)</f>
        <v>0</v>
      </c>
      <c r="I116" s="130" t="n">
        <f aca="false">IFERROR(SUMPRODUCT(MAX(('Dota 2'!$N$11:$N$34=$B116)*'Dota 2'!$H$11:$H$34)),0)</f>
        <v>0</v>
      </c>
      <c r="J116" s="130" t="n">
        <f aca="false">IFERROR(SUMPRODUCT(MAX(('Tekken 8'!$N$11:$N$42=$B116)*'Tekken 8'!$H$11:$H$42)),0)</f>
        <v>0</v>
      </c>
      <c r="K116" s="130" t="n">
        <f aca="false">IFERROR(SUMPRODUCT(MAX(('Street Fighter 6'!$O$11:$O$42=$B116)*'Street Fighter 6'!$I$11:$I$42)),0)</f>
        <v>0</v>
      </c>
      <c r="L116" s="130" t="n">
        <f aca="false">IFERROR(SUMPRODUCT(MAX(('Fatal Fury CotW'!$L$11:$L$42=$B116)*'Fatal Fury CotW'!$F$11:$F$42)),0)</f>
        <v>0</v>
      </c>
      <c r="M116" s="130" t="n">
        <f aca="false">IFERROR(SUMPRODUCT(MAX((TFT!$N$11:$N$26=$B116)*TFT!$H$11:$H$26)),0)</f>
        <v>0</v>
      </c>
      <c r="N116" s="130" t="n">
        <f aca="false">IFERROR(SUMPRODUCT(MAX(('Rainbow Six'!$P$11:$P$32=$B116)*'Rainbow Six'!$J$11:$J$32)),0)</f>
        <v>0</v>
      </c>
      <c r="O116" s="130" t="n">
        <f aca="false">IFERROR(SUMPRODUCT(MAX((Warzone!$M$11:$M$42=$B116)*Warzone!$G$11:$G$42)),0)</f>
        <v>0</v>
      </c>
      <c r="P116" s="130" t="n">
        <f aca="false">IFERROR(SUMPRODUCT(MAX((Valorant!$N$11:$N$26=$B116)*Valorant!$H$11:$H$26)),0)</f>
        <v>0</v>
      </c>
      <c r="Q116" s="130" t="n">
        <f aca="false">IFERROR(SUMPRODUCT(MAX(('MLBB (MSC)'!$M$11:$M$35=$B116)*'MLBB (MSC)'!$G$11:$G$35)),0)</f>
        <v>0</v>
      </c>
      <c r="R116" s="130" t="n">
        <f aca="false">IFERROR(SUMPRODUCT(MAX(('Apex Legends'!$O$11:$O$50=$B116)*'Apex Legends'!$I$11:$I$50)),0)</f>
        <v>0</v>
      </c>
      <c r="S116" s="130" t="n">
        <f aca="false">IFERROR(SUMPRODUCT(MAX(('Honor of Kings'!$N$11:$N$30=$B116)*'Honor of Kings'!$H$11:$H$30)),0)</f>
        <v>0</v>
      </c>
      <c r="T116" s="130" t="n">
        <f aca="false">IFERROR(SUMPRODUCT(MAX((CrossFire!$L$11:$L$26=$B116)*CrossFire!$F$11:$F$26)),0)</f>
        <v>0</v>
      </c>
      <c r="U116" s="130" t="n">
        <f aca="false">IFERROR(SUMPRODUCT(MAX(('Free Fire'!$M$11:$M$34=$B116)*'Free Fire'!$G$11:$G$34)),0)</f>
        <v>0</v>
      </c>
      <c r="V116" s="130" t="n">
        <f aca="false">IFERROR(SUMPRODUCT(MAX(('EA FC 26'!$N$11:$N$46=$B116)*'EA FC 26'!$H$11:$H$46)),0)</f>
        <v>0</v>
      </c>
      <c r="W116" s="130" t="n">
        <f aca="false">IFERROR(SUMPRODUCT(MAX(('Black Ops 7'!$O$11:$O$26=$B116)*'Black Ops 7'!$J$11:$J$26)),0)</f>
        <v>0</v>
      </c>
      <c r="X116" s="130" t="n">
        <f aca="false">IFERROR(SUMPRODUCT(MAX(('Rocket League'!$P$11:$P$26=$B116)*'Rocket League'!$J$11:$J$26)),0)</f>
        <v>0</v>
      </c>
      <c r="Y116" s="130" t="n">
        <f aca="false">IFERROR(SUMPRODUCT(MAX(('Overwatch 2'!$L$11:$L$26=$B116)*'Overwatch 2'!$F$11:$F$26)),0)</f>
        <v>0</v>
      </c>
      <c r="Z116" s="130" t="n">
        <f aca="false">IFERROR(SUMPRODUCT(MAX((PUBG!$L$11:$L$34=$B116)*PUBG!$F$11:$F$34)),0)</f>
        <v>0</v>
      </c>
      <c r="AA116" s="130" t="n">
        <f aca="false">IFERROR(SUMPRODUCT(MAX(('MLBB Women'!$L$11:$L$26=$B116)*'MLBB Women'!$F$11:$F$26)),0)</f>
        <v>0</v>
      </c>
      <c r="AB116" s="130" t="n">
        <f aca="false">SUM(C116:AA116)</f>
        <v>0</v>
      </c>
      <c r="AC116" s="130"/>
      <c r="AD116" s="200" t="n">
        <f aca="false">AB116-AC116</f>
        <v>0</v>
      </c>
      <c r="AE116" s="82" t="str">
        <f aca="false">IF(AB116=0,"not started",IF(AD116=0,"reconciled",IF(AD116&gt;0,"CHECK NAMES","in progress")))</f>
        <v>not started</v>
      </c>
    </row>
    <row r="117" customFormat="false" ht="15" hidden="false" customHeight="true" outlineLevel="0" collapsed="false">
      <c r="B117" s="92" t="s">
        <v>372</v>
      </c>
      <c r="C117" s="130" t="n">
        <f aca="false">IFERROR(SUMIF(CS2!$L$11:$L$42,$B117,CS2!$F$11:$F$42),0)</f>
        <v>0</v>
      </c>
      <c r="D117" s="130" t="n">
        <f aca="false">IFERROR(SUMPRODUCT(MAX((Chess!$L$11:$L$32=$B117)*Chess!$F$11:$F$32)),0)</f>
        <v>0</v>
      </c>
      <c r="E117" s="130" t="n">
        <f aca="false">IFERROR(SUMPRODUCT(MAX((LoL!$L$11:$L$26=$B117)*LoL!$F$11:$F$26)),0)</f>
        <v>0</v>
      </c>
      <c r="F117" s="130" t="n">
        <f aca="false">IFERROR(SUMPRODUCT(MAX(('PUBG Mobile'!$L$11:$L$42=$B117)*'PUBG Mobile'!$F$11:$F$42)),0)</f>
        <v>0</v>
      </c>
      <c r="G117" s="130" t="n">
        <f aca="false">IFERROR(SUMPRODUCT(MAX(('Fortnite Reload'!$L$11:$L$50=$B117)*'Fortnite Reload'!$F$11:$F$50)),0)</f>
        <v>0</v>
      </c>
      <c r="H117" s="130" t="n">
        <f aca="false">IFERROR(SUMPRODUCT(MAX((Trackmania!$M$11:$M$42=$B117)*Trackmania!$G$11:$G$42)),0)</f>
        <v>0</v>
      </c>
      <c r="I117" s="130" t="n">
        <f aca="false">IFERROR(SUMPRODUCT(MAX(('Dota 2'!$N$11:$N$34=$B117)*'Dota 2'!$H$11:$H$34)),0)</f>
        <v>0</v>
      </c>
      <c r="J117" s="130" t="n">
        <f aca="false">IFERROR(SUMPRODUCT(MAX(('Tekken 8'!$N$11:$N$42=$B117)*'Tekken 8'!$H$11:$H$42)),0)</f>
        <v>0</v>
      </c>
      <c r="K117" s="130" t="n">
        <f aca="false">IFERROR(SUMPRODUCT(MAX(('Street Fighter 6'!$O$11:$O$42=$B117)*'Street Fighter 6'!$I$11:$I$42)),0)</f>
        <v>0</v>
      </c>
      <c r="L117" s="130" t="n">
        <f aca="false">IFERROR(SUMPRODUCT(MAX(('Fatal Fury CotW'!$L$11:$L$42=$B117)*'Fatal Fury CotW'!$F$11:$F$42)),0)</f>
        <v>0</v>
      </c>
      <c r="M117" s="130" t="n">
        <f aca="false">IFERROR(SUMPRODUCT(MAX((TFT!$N$11:$N$26=$B117)*TFT!$H$11:$H$26)),0)</f>
        <v>0</v>
      </c>
      <c r="N117" s="130" t="n">
        <f aca="false">IFERROR(SUMPRODUCT(MAX(('Rainbow Six'!$P$11:$P$32=$B117)*'Rainbow Six'!$J$11:$J$32)),0)</f>
        <v>0</v>
      </c>
      <c r="O117" s="130" t="n">
        <f aca="false">IFERROR(SUMPRODUCT(MAX((Warzone!$M$11:$M$42=$B117)*Warzone!$G$11:$G$42)),0)</f>
        <v>0</v>
      </c>
      <c r="P117" s="130" t="n">
        <f aca="false">IFERROR(SUMPRODUCT(MAX((Valorant!$N$11:$N$26=$B117)*Valorant!$H$11:$H$26)),0)</f>
        <v>0</v>
      </c>
      <c r="Q117" s="130" t="n">
        <f aca="false">IFERROR(SUMPRODUCT(MAX(('MLBB (MSC)'!$M$11:$M$35=$B117)*'MLBB (MSC)'!$G$11:$G$35)),0)</f>
        <v>0</v>
      </c>
      <c r="R117" s="130" t="n">
        <f aca="false">IFERROR(SUMPRODUCT(MAX(('Apex Legends'!$O$11:$O$50=$B117)*'Apex Legends'!$I$11:$I$50)),0)</f>
        <v>0</v>
      </c>
      <c r="S117" s="130" t="n">
        <f aca="false">IFERROR(SUMPRODUCT(MAX(('Honor of Kings'!$N$11:$N$30=$B117)*'Honor of Kings'!$H$11:$H$30)),0)</f>
        <v>0</v>
      </c>
      <c r="T117" s="130" t="n">
        <f aca="false">IFERROR(SUMPRODUCT(MAX((CrossFire!$L$11:$L$26=$B117)*CrossFire!$F$11:$F$26)),0)</f>
        <v>0</v>
      </c>
      <c r="U117" s="130" t="n">
        <f aca="false">IFERROR(SUMPRODUCT(MAX(('Free Fire'!$M$11:$M$34=$B117)*'Free Fire'!$G$11:$G$34)),0)</f>
        <v>0</v>
      </c>
      <c r="V117" s="130" t="n">
        <f aca="false">IFERROR(SUMPRODUCT(MAX(('EA FC 26'!$N$11:$N$46=$B117)*'EA FC 26'!$H$11:$H$46)),0)</f>
        <v>0</v>
      </c>
      <c r="W117" s="130" t="n">
        <f aca="false">IFERROR(SUMPRODUCT(MAX(('Black Ops 7'!$O$11:$O$26=$B117)*'Black Ops 7'!$J$11:$J$26)),0)</f>
        <v>0</v>
      </c>
      <c r="X117" s="130" t="n">
        <f aca="false">IFERROR(SUMPRODUCT(MAX(('Rocket League'!$P$11:$P$26=$B117)*'Rocket League'!$J$11:$J$26)),0)</f>
        <v>0</v>
      </c>
      <c r="Y117" s="130" t="n">
        <f aca="false">IFERROR(SUMPRODUCT(MAX(('Overwatch 2'!$L$11:$L$26=$B117)*'Overwatch 2'!$F$11:$F$26)),0)</f>
        <v>0</v>
      </c>
      <c r="Z117" s="130" t="n">
        <f aca="false">IFERROR(SUMPRODUCT(MAX((PUBG!$L$11:$L$34=$B117)*PUBG!$F$11:$F$34)),0)</f>
        <v>0</v>
      </c>
      <c r="AA117" s="130" t="n">
        <f aca="false">IFERROR(SUMPRODUCT(MAX(('MLBB Women'!$L$11:$L$26=$B117)*'MLBB Women'!$F$11:$F$26)),0)</f>
        <v>0</v>
      </c>
      <c r="AB117" s="130" t="n">
        <f aca="false">SUM(C117:AA117)</f>
        <v>0</v>
      </c>
      <c r="AC117" s="130"/>
      <c r="AD117" s="200" t="n">
        <f aca="false">AB117-AC117</f>
        <v>0</v>
      </c>
      <c r="AE117" s="82" t="str">
        <f aca="false">IF(AB117=0,"not started",IF(AD117=0,"reconciled",IF(AD117&gt;0,"CHECK NAMES","in progress")))</f>
        <v>not started</v>
      </c>
    </row>
    <row r="118" customFormat="false" ht="15" hidden="false" customHeight="true" outlineLevel="0" collapsed="false">
      <c r="B118" s="92" t="s">
        <v>249</v>
      </c>
      <c r="C118" s="130" t="n">
        <f aca="false">IFERROR(SUMIF(CS2!$L$11:$L$42,$B118,CS2!$F$11:$F$42),0)</f>
        <v>0</v>
      </c>
      <c r="D118" s="130" t="n">
        <f aca="false">IFERROR(SUMPRODUCT(MAX((Chess!$L$11:$L$32=$B118)*Chess!$F$11:$F$32)),0)</f>
        <v>0</v>
      </c>
      <c r="E118" s="130" t="n">
        <f aca="false">IFERROR(SUMPRODUCT(MAX((LoL!$L$11:$L$26=$B118)*LoL!$F$11:$F$26)),0)</f>
        <v>0</v>
      </c>
      <c r="F118" s="130" t="n">
        <f aca="false">IFERROR(SUMPRODUCT(MAX(('PUBG Mobile'!$L$11:$L$42=$B118)*'PUBG Mobile'!$F$11:$F$42)),0)</f>
        <v>0</v>
      </c>
      <c r="G118" s="130" t="n">
        <f aca="false">IFERROR(SUMPRODUCT(MAX(('Fortnite Reload'!$L$11:$L$50=$B118)*'Fortnite Reload'!$F$11:$F$50)),0)</f>
        <v>0</v>
      </c>
      <c r="H118" s="130" t="n">
        <f aca="false">IFERROR(SUMPRODUCT(MAX((Trackmania!$M$11:$M$42=$B118)*Trackmania!$G$11:$G$42)),0)</f>
        <v>0</v>
      </c>
      <c r="I118" s="130" t="n">
        <f aca="false">IFERROR(SUMPRODUCT(MAX(('Dota 2'!$N$11:$N$34=$B118)*'Dota 2'!$H$11:$H$34)),0)</f>
        <v>0</v>
      </c>
      <c r="J118" s="130" t="n">
        <f aca="false">IFERROR(SUMPRODUCT(MAX(('Tekken 8'!$N$11:$N$42=$B118)*'Tekken 8'!$H$11:$H$42)),0)</f>
        <v>0</v>
      </c>
      <c r="K118" s="130" t="n">
        <f aca="false">IFERROR(SUMPRODUCT(MAX(('Street Fighter 6'!$O$11:$O$42=$B118)*'Street Fighter 6'!$I$11:$I$42)),0)</f>
        <v>0</v>
      </c>
      <c r="L118" s="130" t="n">
        <f aca="false">IFERROR(SUMPRODUCT(MAX(('Fatal Fury CotW'!$L$11:$L$42=$B118)*'Fatal Fury CotW'!$F$11:$F$42)),0)</f>
        <v>0</v>
      </c>
      <c r="M118" s="130" t="n">
        <f aca="false">IFERROR(SUMPRODUCT(MAX((TFT!$N$11:$N$26=$B118)*TFT!$H$11:$H$26)),0)</f>
        <v>0</v>
      </c>
      <c r="N118" s="130" t="n">
        <f aca="false">IFERROR(SUMPRODUCT(MAX(('Rainbow Six'!$P$11:$P$32=$B118)*'Rainbow Six'!$J$11:$J$32)),0)</f>
        <v>0</v>
      </c>
      <c r="O118" s="130" t="n">
        <f aca="false">IFERROR(SUMPRODUCT(MAX((Warzone!$M$11:$M$42=$B118)*Warzone!$G$11:$G$42)),0)</f>
        <v>0</v>
      </c>
      <c r="P118" s="130" t="n">
        <f aca="false">IFERROR(SUMPRODUCT(MAX((Valorant!$N$11:$N$26=$B118)*Valorant!$H$11:$H$26)),0)</f>
        <v>0</v>
      </c>
      <c r="Q118" s="130" t="n">
        <f aca="false">IFERROR(SUMPRODUCT(MAX(('MLBB (MSC)'!$M$11:$M$35=$B118)*'MLBB (MSC)'!$G$11:$G$35)),0)</f>
        <v>0</v>
      </c>
      <c r="R118" s="130" t="n">
        <f aca="false">IFERROR(SUMPRODUCT(MAX(('Apex Legends'!$O$11:$O$50=$B118)*'Apex Legends'!$I$11:$I$50)),0)</f>
        <v>0</v>
      </c>
      <c r="S118" s="130" t="n">
        <f aca="false">IFERROR(SUMPRODUCT(MAX(('Honor of Kings'!$N$11:$N$30=$B118)*'Honor of Kings'!$H$11:$H$30)),0)</f>
        <v>0</v>
      </c>
      <c r="T118" s="130" t="n">
        <f aca="false">IFERROR(SUMPRODUCT(MAX((CrossFire!$L$11:$L$26=$B118)*CrossFire!$F$11:$F$26)),0)</f>
        <v>0</v>
      </c>
      <c r="U118" s="130" t="n">
        <f aca="false">IFERROR(SUMPRODUCT(MAX(('Free Fire'!$M$11:$M$34=$B118)*'Free Fire'!$G$11:$G$34)),0)</f>
        <v>0</v>
      </c>
      <c r="V118" s="130" t="n">
        <f aca="false">IFERROR(SUMPRODUCT(MAX(('EA FC 26'!$N$11:$N$46=$B118)*'EA FC 26'!$H$11:$H$46)),0)</f>
        <v>0</v>
      </c>
      <c r="W118" s="130" t="n">
        <f aca="false">IFERROR(SUMPRODUCT(MAX(('Black Ops 7'!$O$11:$O$26=$B118)*'Black Ops 7'!$J$11:$J$26)),0)</f>
        <v>0</v>
      </c>
      <c r="X118" s="130" t="n">
        <f aca="false">IFERROR(SUMPRODUCT(MAX(('Rocket League'!$P$11:$P$26=$B118)*'Rocket League'!$J$11:$J$26)),0)</f>
        <v>0</v>
      </c>
      <c r="Y118" s="130" t="n">
        <f aca="false">IFERROR(SUMPRODUCT(MAX(('Overwatch 2'!$L$11:$L$26=$B118)*'Overwatch 2'!$F$11:$F$26)),0)</f>
        <v>0</v>
      </c>
      <c r="Z118" s="130" t="n">
        <f aca="false">IFERROR(SUMPRODUCT(MAX((PUBG!$L$11:$L$34=$B118)*PUBG!$F$11:$F$34)),0)</f>
        <v>0</v>
      </c>
      <c r="AA118" s="130" t="n">
        <f aca="false">IFERROR(SUMPRODUCT(MAX(('MLBB Women'!$L$11:$L$26=$B118)*'MLBB Women'!$F$11:$F$26)),0)</f>
        <v>0</v>
      </c>
      <c r="AB118" s="130" t="n">
        <f aca="false">SUM(C118:AA118)</f>
        <v>0</v>
      </c>
      <c r="AC118" s="130"/>
      <c r="AD118" s="200" t="n">
        <f aca="false">AB118-AC118</f>
        <v>0</v>
      </c>
      <c r="AE118" s="82" t="str">
        <f aca="false">IF(AB118=0,"not started",IF(AD118=0,"reconciled",IF(AD118&gt;0,"CHECK NAMES","in progress")))</f>
        <v>not started</v>
      </c>
    </row>
    <row r="119" customFormat="false" ht="15" hidden="false" customHeight="true" outlineLevel="0" collapsed="false">
      <c r="B119" s="92" t="s">
        <v>222</v>
      </c>
      <c r="C119" s="130" t="n">
        <f aca="false">IFERROR(SUMIF(CS2!$L$11:$L$42,$B119,CS2!$F$11:$F$42),0)</f>
        <v>0</v>
      </c>
      <c r="D119" s="130" t="n">
        <f aca="false">IFERROR(SUMPRODUCT(MAX((Chess!$L$11:$L$32=$B119)*Chess!$F$11:$F$32)),0)</f>
        <v>0</v>
      </c>
      <c r="E119" s="130" t="n">
        <f aca="false">IFERROR(SUMPRODUCT(MAX((LoL!$L$11:$L$26=$B119)*LoL!$F$11:$F$26)),0)</f>
        <v>0</v>
      </c>
      <c r="F119" s="130" t="n">
        <f aca="false">IFERROR(SUMPRODUCT(MAX(('PUBG Mobile'!$L$11:$L$42=$B119)*'PUBG Mobile'!$F$11:$F$42)),0)</f>
        <v>0</v>
      </c>
      <c r="G119" s="130" t="n">
        <f aca="false">IFERROR(SUMPRODUCT(MAX(('Fortnite Reload'!$L$11:$L$50=$B119)*'Fortnite Reload'!$F$11:$F$50)),0)</f>
        <v>0</v>
      </c>
      <c r="H119" s="130" t="n">
        <f aca="false">IFERROR(SUMPRODUCT(MAX((Trackmania!$M$11:$M$42=$B119)*Trackmania!$G$11:$G$42)),0)</f>
        <v>0</v>
      </c>
      <c r="I119" s="130" t="n">
        <f aca="false">IFERROR(SUMPRODUCT(MAX(('Dota 2'!$N$11:$N$34=$B119)*'Dota 2'!$H$11:$H$34)),0)</f>
        <v>0</v>
      </c>
      <c r="J119" s="130" t="n">
        <f aca="false">IFERROR(SUMPRODUCT(MAX(('Tekken 8'!$N$11:$N$42=$B119)*'Tekken 8'!$H$11:$H$42)),0)</f>
        <v>0</v>
      </c>
      <c r="K119" s="130" t="n">
        <f aca="false">IFERROR(SUMPRODUCT(MAX(('Street Fighter 6'!$O$11:$O$42=$B119)*'Street Fighter 6'!$I$11:$I$42)),0)</f>
        <v>0</v>
      </c>
      <c r="L119" s="130" t="n">
        <f aca="false">IFERROR(SUMPRODUCT(MAX(('Fatal Fury CotW'!$L$11:$L$42=$B119)*'Fatal Fury CotW'!$F$11:$F$42)),0)</f>
        <v>0</v>
      </c>
      <c r="M119" s="130" t="n">
        <f aca="false">IFERROR(SUMPRODUCT(MAX((TFT!$N$11:$N$26=$B119)*TFT!$H$11:$H$26)),0)</f>
        <v>0</v>
      </c>
      <c r="N119" s="130" t="n">
        <f aca="false">IFERROR(SUMPRODUCT(MAX(('Rainbow Six'!$P$11:$P$32=$B119)*'Rainbow Six'!$J$11:$J$32)),0)</f>
        <v>0</v>
      </c>
      <c r="O119" s="130" t="n">
        <f aca="false">IFERROR(SUMPRODUCT(MAX((Warzone!$M$11:$M$42=$B119)*Warzone!$G$11:$G$42)),0)</f>
        <v>0</v>
      </c>
      <c r="P119" s="130" t="n">
        <f aca="false">IFERROR(SUMPRODUCT(MAX((Valorant!$N$11:$N$26=$B119)*Valorant!$H$11:$H$26)),0)</f>
        <v>0</v>
      </c>
      <c r="Q119" s="130" t="n">
        <f aca="false">IFERROR(SUMPRODUCT(MAX(('MLBB (MSC)'!$M$11:$M$35=$B119)*'MLBB (MSC)'!$G$11:$G$35)),0)</f>
        <v>0</v>
      </c>
      <c r="R119" s="130" t="n">
        <f aca="false">IFERROR(SUMPRODUCT(MAX(('Apex Legends'!$O$11:$O$50=$B119)*'Apex Legends'!$I$11:$I$50)),0)</f>
        <v>0</v>
      </c>
      <c r="S119" s="130" t="n">
        <f aca="false">IFERROR(SUMPRODUCT(MAX(('Honor of Kings'!$N$11:$N$30=$B119)*'Honor of Kings'!$H$11:$H$30)),0)</f>
        <v>0</v>
      </c>
      <c r="T119" s="130" t="n">
        <f aca="false">IFERROR(SUMPRODUCT(MAX((CrossFire!$L$11:$L$26=$B119)*CrossFire!$F$11:$F$26)),0)</f>
        <v>0</v>
      </c>
      <c r="U119" s="130" t="n">
        <f aca="false">IFERROR(SUMPRODUCT(MAX(('Free Fire'!$M$11:$M$34=$B119)*'Free Fire'!$G$11:$G$34)),0)</f>
        <v>0</v>
      </c>
      <c r="V119" s="130" t="n">
        <f aca="false">IFERROR(SUMPRODUCT(MAX(('EA FC 26'!$N$11:$N$46=$B119)*'EA FC 26'!$H$11:$H$46)),0)</f>
        <v>0</v>
      </c>
      <c r="W119" s="130" t="n">
        <f aca="false">IFERROR(SUMPRODUCT(MAX(('Black Ops 7'!$O$11:$O$26=$B119)*'Black Ops 7'!$J$11:$J$26)),0)</f>
        <v>0</v>
      </c>
      <c r="X119" s="130" t="n">
        <f aca="false">IFERROR(SUMPRODUCT(MAX(('Rocket League'!$P$11:$P$26=$B119)*'Rocket League'!$J$11:$J$26)),0)</f>
        <v>0</v>
      </c>
      <c r="Y119" s="130" t="n">
        <f aca="false">IFERROR(SUMPRODUCT(MAX(('Overwatch 2'!$L$11:$L$26=$B119)*'Overwatch 2'!$F$11:$F$26)),0)</f>
        <v>0</v>
      </c>
      <c r="Z119" s="130" t="n">
        <f aca="false">IFERROR(SUMPRODUCT(MAX((PUBG!$L$11:$L$34=$B119)*PUBG!$F$11:$F$34)),0)</f>
        <v>0</v>
      </c>
      <c r="AA119" s="130" t="n">
        <f aca="false">IFERROR(SUMPRODUCT(MAX(('MLBB Women'!$L$11:$L$26=$B119)*'MLBB Women'!$F$11:$F$26)),0)</f>
        <v>0</v>
      </c>
      <c r="AB119" s="130" t="n">
        <f aca="false">SUM(C119:AA119)</f>
        <v>0</v>
      </c>
      <c r="AC119" s="130"/>
      <c r="AD119" s="200" t="n">
        <f aca="false">AB119-AC119</f>
        <v>0</v>
      </c>
      <c r="AE119" s="82" t="str">
        <f aca="false">IF(AB119=0,"not started",IF(AD119=0,"reconciled",IF(AD119&gt;0,"CHECK NAMES","in progress")))</f>
        <v>not started</v>
      </c>
    </row>
    <row r="120" customFormat="false" ht="15" hidden="false" customHeight="true" outlineLevel="0" collapsed="false">
      <c r="B120" s="92" t="s">
        <v>292</v>
      </c>
      <c r="C120" s="130" t="n">
        <f aca="false">IFERROR(SUMIF(CS2!$L$11:$L$42,$B120,CS2!$F$11:$F$42),0)</f>
        <v>0</v>
      </c>
      <c r="D120" s="130" t="n">
        <f aca="false">IFERROR(SUMPRODUCT(MAX((Chess!$L$11:$L$32=$B120)*Chess!$F$11:$F$32)),0)</f>
        <v>0</v>
      </c>
      <c r="E120" s="130" t="n">
        <f aca="false">IFERROR(SUMPRODUCT(MAX((LoL!$L$11:$L$26=$B120)*LoL!$F$11:$F$26)),0)</f>
        <v>0</v>
      </c>
      <c r="F120" s="130" t="n">
        <f aca="false">IFERROR(SUMPRODUCT(MAX(('PUBG Mobile'!$L$11:$L$42=$B120)*'PUBG Mobile'!$F$11:$F$42)),0)</f>
        <v>0</v>
      </c>
      <c r="G120" s="130" t="n">
        <f aca="false">IFERROR(SUMPRODUCT(MAX(('Fortnite Reload'!$L$11:$L$50=$B120)*'Fortnite Reload'!$F$11:$F$50)),0)</f>
        <v>0</v>
      </c>
      <c r="H120" s="130" t="n">
        <f aca="false">IFERROR(SUMPRODUCT(MAX((Trackmania!$M$11:$M$42=$B120)*Trackmania!$G$11:$G$42)),0)</f>
        <v>0</v>
      </c>
      <c r="I120" s="130" t="n">
        <f aca="false">IFERROR(SUMPRODUCT(MAX(('Dota 2'!$N$11:$N$34=$B120)*'Dota 2'!$H$11:$H$34)),0)</f>
        <v>0</v>
      </c>
      <c r="J120" s="130" t="n">
        <f aca="false">IFERROR(SUMPRODUCT(MAX(('Tekken 8'!$N$11:$N$42=$B120)*'Tekken 8'!$H$11:$H$42)),0)</f>
        <v>0</v>
      </c>
      <c r="K120" s="130" t="n">
        <f aca="false">IFERROR(SUMPRODUCT(MAX(('Street Fighter 6'!$O$11:$O$42=$B120)*'Street Fighter 6'!$I$11:$I$42)),0)</f>
        <v>0</v>
      </c>
      <c r="L120" s="130" t="n">
        <f aca="false">IFERROR(SUMPRODUCT(MAX(('Fatal Fury CotW'!$L$11:$L$42=$B120)*'Fatal Fury CotW'!$F$11:$F$42)),0)</f>
        <v>0</v>
      </c>
      <c r="M120" s="130" t="n">
        <f aca="false">IFERROR(SUMPRODUCT(MAX((TFT!$N$11:$N$26=$B120)*TFT!$H$11:$H$26)),0)</f>
        <v>0</v>
      </c>
      <c r="N120" s="130" t="n">
        <f aca="false">IFERROR(SUMPRODUCT(MAX(('Rainbow Six'!$P$11:$P$32=$B120)*'Rainbow Six'!$J$11:$J$32)),0)</f>
        <v>0</v>
      </c>
      <c r="O120" s="130" t="n">
        <f aca="false">IFERROR(SUMPRODUCT(MAX((Warzone!$M$11:$M$42=$B120)*Warzone!$G$11:$G$42)),0)</f>
        <v>0</v>
      </c>
      <c r="P120" s="130" t="n">
        <f aca="false">IFERROR(SUMPRODUCT(MAX((Valorant!$N$11:$N$26=$B120)*Valorant!$H$11:$H$26)),0)</f>
        <v>0</v>
      </c>
      <c r="Q120" s="130" t="n">
        <f aca="false">IFERROR(SUMPRODUCT(MAX(('MLBB (MSC)'!$M$11:$M$35=$B120)*'MLBB (MSC)'!$G$11:$G$35)),0)</f>
        <v>0</v>
      </c>
      <c r="R120" s="130" t="n">
        <f aca="false">IFERROR(SUMPRODUCT(MAX(('Apex Legends'!$O$11:$O$50=$B120)*'Apex Legends'!$I$11:$I$50)),0)</f>
        <v>0</v>
      </c>
      <c r="S120" s="130" t="n">
        <f aca="false">IFERROR(SUMPRODUCT(MAX(('Honor of Kings'!$N$11:$N$30=$B120)*'Honor of Kings'!$H$11:$H$30)),0)</f>
        <v>0</v>
      </c>
      <c r="T120" s="130" t="n">
        <f aca="false">IFERROR(SUMPRODUCT(MAX((CrossFire!$L$11:$L$26=$B120)*CrossFire!$F$11:$F$26)),0)</f>
        <v>0</v>
      </c>
      <c r="U120" s="130" t="n">
        <f aca="false">IFERROR(SUMPRODUCT(MAX(('Free Fire'!$M$11:$M$34=$B120)*'Free Fire'!$G$11:$G$34)),0)</f>
        <v>0</v>
      </c>
      <c r="V120" s="130" t="n">
        <f aca="false">IFERROR(SUMPRODUCT(MAX(('EA FC 26'!$N$11:$N$46=$B120)*'EA FC 26'!$H$11:$H$46)),0)</f>
        <v>0</v>
      </c>
      <c r="W120" s="130" t="n">
        <f aca="false">IFERROR(SUMPRODUCT(MAX(('Black Ops 7'!$O$11:$O$26=$B120)*'Black Ops 7'!$J$11:$J$26)),0)</f>
        <v>0</v>
      </c>
      <c r="X120" s="130" t="n">
        <f aca="false">IFERROR(SUMPRODUCT(MAX(('Rocket League'!$P$11:$P$26=$B120)*'Rocket League'!$J$11:$J$26)),0)</f>
        <v>0</v>
      </c>
      <c r="Y120" s="130" t="n">
        <f aca="false">IFERROR(SUMPRODUCT(MAX(('Overwatch 2'!$L$11:$L$26=$B120)*'Overwatch 2'!$F$11:$F$26)),0)</f>
        <v>0</v>
      </c>
      <c r="Z120" s="130" t="n">
        <f aca="false">IFERROR(SUMPRODUCT(MAX((PUBG!$L$11:$L$34=$B120)*PUBG!$F$11:$F$34)),0)</f>
        <v>0</v>
      </c>
      <c r="AA120" s="130" t="n">
        <f aca="false">IFERROR(SUMPRODUCT(MAX(('MLBB Women'!$L$11:$L$26=$B120)*'MLBB Women'!$F$11:$F$26)),0)</f>
        <v>0</v>
      </c>
      <c r="AB120" s="130" t="n">
        <f aca="false">SUM(C120:AA120)</f>
        <v>0</v>
      </c>
      <c r="AC120" s="130"/>
      <c r="AD120" s="200" t="n">
        <f aca="false">AB120-AC120</f>
        <v>0</v>
      </c>
      <c r="AE120" s="82" t="str">
        <f aca="false">IF(AB120=0,"not started",IF(AD120=0,"reconciled",IF(AD120&gt;0,"CHECK NAMES","in progress")))</f>
        <v>not started</v>
      </c>
    </row>
    <row r="121" customFormat="false" ht="15" hidden="false" customHeight="true" outlineLevel="0" collapsed="false">
      <c r="B121" s="92" t="s">
        <v>399</v>
      </c>
      <c r="C121" s="130" t="n">
        <f aca="false">IFERROR(SUMIF(CS2!$L$11:$L$42,$B121,CS2!$F$11:$F$42),0)</f>
        <v>0</v>
      </c>
      <c r="D121" s="130" t="n">
        <f aca="false">IFERROR(SUMPRODUCT(MAX((Chess!$L$11:$L$32=$B121)*Chess!$F$11:$F$32)),0)</f>
        <v>0</v>
      </c>
      <c r="E121" s="130" t="n">
        <f aca="false">IFERROR(SUMPRODUCT(MAX((LoL!$L$11:$L$26=$B121)*LoL!$F$11:$F$26)),0)</f>
        <v>0</v>
      </c>
      <c r="F121" s="130" t="n">
        <f aca="false">IFERROR(SUMPRODUCT(MAX(('PUBG Mobile'!$L$11:$L$42=$B121)*'PUBG Mobile'!$F$11:$F$42)),0)</f>
        <v>0</v>
      </c>
      <c r="G121" s="130" t="n">
        <f aca="false">IFERROR(SUMPRODUCT(MAX(('Fortnite Reload'!$L$11:$L$50=$B121)*'Fortnite Reload'!$F$11:$F$50)),0)</f>
        <v>0</v>
      </c>
      <c r="H121" s="130" t="n">
        <f aca="false">IFERROR(SUMPRODUCT(MAX((Trackmania!$M$11:$M$42=$B121)*Trackmania!$G$11:$G$42)),0)</f>
        <v>0</v>
      </c>
      <c r="I121" s="130" t="n">
        <f aca="false">IFERROR(SUMPRODUCT(MAX(('Dota 2'!$N$11:$N$34=$B121)*'Dota 2'!$H$11:$H$34)),0)</f>
        <v>0</v>
      </c>
      <c r="J121" s="130" t="n">
        <f aca="false">IFERROR(SUMPRODUCT(MAX(('Tekken 8'!$N$11:$N$42=$B121)*'Tekken 8'!$H$11:$H$42)),0)</f>
        <v>0</v>
      </c>
      <c r="K121" s="130" t="n">
        <f aca="false">IFERROR(SUMPRODUCT(MAX(('Street Fighter 6'!$O$11:$O$42=$B121)*'Street Fighter 6'!$I$11:$I$42)),0)</f>
        <v>0</v>
      </c>
      <c r="L121" s="130" t="n">
        <f aca="false">IFERROR(SUMPRODUCT(MAX(('Fatal Fury CotW'!$L$11:$L$42=$B121)*'Fatal Fury CotW'!$F$11:$F$42)),0)</f>
        <v>0</v>
      </c>
      <c r="M121" s="130" t="n">
        <f aca="false">IFERROR(SUMPRODUCT(MAX((TFT!$N$11:$N$26=$B121)*TFT!$H$11:$H$26)),0)</f>
        <v>0</v>
      </c>
      <c r="N121" s="130" t="n">
        <f aca="false">IFERROR(SUMPRODUCT(MAX(('Rainbow Six'!$P$11:$P$32=$B121)*'Rainbow Six'!$J$11:$J$32)),0)</f>
        <v>0</v>
      </c>
      <c r="O121" s="130" t="n">
        <f aca="false">IFERROR(SUMPRODUCT(MAX((Warzone!$M$11:$M$42=$B121)*Warzone!$G$11:$G$42)),0)</f>
        <v>0</v>
      </c>
      <c r="P121" s="130" t="n">
        <f aca="false">IFERROR(SUMPRODUCT(MAX((Valorant!$N$11:$N$26=$B121)*Valorant!$H$11:$H$26)),0)</f>
        <v>0</v>
      </c>
      <c r="Q121" s="130" t="n">
        <f aca="false">IFERROR(SUMPRODUCT(MAX(('MLBB (MSC)'!$M$11:$M$35=$B121)*'MLBB (MSC)'!$G$11:$G$35)),0)</f>
        <v>0</v>
      </c>
      <c r="R121" s="130" t="n">
        <f aca="false">IFERROR(SUMPRODUCT(MAX(('Apex Legends'!$O$11:$O$50=$B121)*'Apex Legends'!$I$11:$I$50)),0)</f>
        <v>0</v>
      </c>
      <c r="S121" s="130" t="n">
        <f aca="false">IFERROR(SUMPRODUCT(MAX(('Honor of Kings'!$N$11:$N$30=$B121)*'Honor of Kings'!$H$11:$H$30)),0)</f>
        <v>0</v>
      </c>
      <c r="T121" s="130" t="n">
        <f aca="false">IFERROR(SUMPRODUCT(MAX((CrossFire!$L$11:$L$26=$B121)*CrossFire!$F$11:$F$26)),0)</f>
        <v>0</v>
      </c>
      <c r="U121" s="130" t="n">
        <f aca="false">IFERROR(SUMPRODUCT(MAX(('Free Fire'!$M$11:$M$34=$B121)*'Free Fire'!$G$11:$G$34)),0)</f>
        <v>0</v>
      </c>
      <c r="V121" s="130" t="n">
        <f aca="false">IFERROR(SUMPRODUCT(MAX(('EA FC 26'!$N$11:$N$46=$B121)*'EA FC 26'!$H$11:$H$46)),0)</f>
        <v>0</v>
      </c>
      <c r="W121" s="130" t="n">
        <f aca="false">IFERROR(SUMPRODUCT(MAX(('Black Ops 7'!$O$11:$O$26=$B121)*'Black Ops 7'!$J$11:$J$26)),0)</f>
        <v>0</v>
      </c>
      <c r="X121" s="130" t="n">
        <f aca="false">IFERROR(SUMPRODUCT(MAX(('Rocket League'!$P$11:$P$26=$B121)*'Rocket League'!$J$11:$J$26)),0)</f>
        <v>0</v>
      </c>
      <c r="Y121" s="130" t="n">
        <f aca="false">IFERROR(SUMPRODUCT(MAX(('Overwatch 2'!$L$11:$L$26=$B121)*'Overwatch 2'!$F$11:$F$26)),0)</f>
        <v>0</v>
      </c>
      <c r="Z121" s="130" t="n">
        <f aca="false">IFERROR(SUMPRODUCT(MAX((PUBG!$L$11:$L$34=$B121)*PUBG!$F$11:$F$34)),0)</f>
        <v>0</v>
      </c>
      <c r="AA121" s="130" t="n">
        <f aca="false">IFERROR(SUMPRODUCT(MAX(('MLBB Women'!$L$11:$L$26=$B121)*'MLBB Women'!$F$11:$F$26)),0)</f>
        <v>0</v>
      </c>
      <c r="AB121" s="130" t="n">
        <f aca="false">SUM(C121:AA121)</f>
        <v>0</v>
      </c>
      <c r="AC121" s="130"/>
      <c r="AD121" s="200" t="n">
        <f aca="false">AB121-AC121</f>
        <v>0</v>
      </c>
      <c r="AE121" s="82" t="str">
        <f aca="false">IF(AB121=0,"not started",IF(AD121=0,"reconciled",IF(AD121&gt;0,"CHECK NAMES","in progress")))</f>
        <v>not started</v>
      </c>
    </row>
    <row r="122" customFormat="false" ht="15" hidden="false" customHeight="true" outlineLevel="0" collapsed="false">
      <c r="B122" s="92" t="s">
        <v>378</v>
      </c>
      <c r="C122" s="130" t="n">
        <f aca="false">IFERROR(SUMIF(CS2!$L$11:$L$42,$B122,CS2!$F$11:$F$42),0)</f>
        <v>0</v>
      </c>
      <c r="D122" s="130" t="n">
        <f aca="false">IFERROR(SUMPRODUCT(MAX((Chess!$L$11:$L$32=$B122)*Chess!$F$11:$F$32)),0)</f>
        <v>0</v>
      </c>
      <c r="E122" s="130" t="n">
        <f aca="false">IFERROR(SUMPRODUCT(MAX((LoL!$L$11:$L$26=$B122)*LoL!$F$11:$F$26)),0)</f>
        <v>0</v>
      </c>
      <c r="F122" s="130" t="n">
        <f aca="false">IFERROR(SUMPRODUCT(MAX(('PUBG Mobile'!$L$11:$L$42=$B122)*'PUBG Mobile'!$F$11:$F$42)),0)</f>
        <v>0</v>
      </c>
      <c r="G122" s="130" t="n">
        <f aca="false">IFERROR(SUMPRODUCT(MAX(('Fortnite Reload'!$L$11:$L$50=$B122)*'Fortnite Reload'!$F$11:$F$50)),0)</f>
        <v>0</v>
      </c>
      <c r="H122" s="130" t="n">
        <f aca="false">IFERROR(SUMPRODUCT(MAX((Trackmania!$M$11:$M$42=$B122)*Trackmania!$G$11:$G$42)),0)</f>
        <v>0</v>
      </c>
      <c r="I122" s="130" t="n">
        <f aca="false">IFERROR(SUMPRODUCT(MAX(('Dota 2'!$N$11:$N$34=$B122)*'Dota 2'!$H$11:$H$34)),0)</f>
        <v>0</v>
      </c>
      <c r="J122" s="130" t="n">
        <f aca="false">IFERROR(SUMPRODUCT(MAX(('Tekken 8'!$N$11:$N$42=$B122)*'Tekken 8'!$H$11:$H$42)),0)</f>
        <v>0</v>
      </c>
      <c r="K122" s="130" t="n">
        <f aca="false">IFERROR(SUMPRODUCT(MAX(('Street Fighter 6'!$O$11:$O$42=$B122)*'Street Fighter 6'!$I$11:$I$42)),0)</f>
        <v>0</v>
      </c>
      <c r="L122" s="130" t="n">
        <f aca="false">IFERROR(SUMPRODUCT(MAX(('Fatal Fury CotW'!$L$11:$L$42=$B122)*'Fatal Fury CotW'!$F$11:$F$42)),0)</f>
        <v>0</v>
      </c>
      <c r="M122" s="130" t="n">
        <f aca="false">IFERROR(SUMPRODUCT(MAX((TFT!$N$11:$N$26=$B122)*TFT!$H$11:$H$26)),0)</f>
        <v>0</v>
      </c>
      <c r="N122" s="130" t="n">
        <f aca="false">IFERROR(SUMPRODUCT(MAX(('Rainbow Six'!$P$11:$P$32=$B122)*'Rainbow Six'!$J$11:$J$32)),0)</f>
        <v>0</v>
      </c>
      <c r="O122" s="130" t="n">
        <f aca="false">IFERROR(SUMPRODUCT(MAX((Warzone!$M$11:$M$42=$B122)*Warzone!$G$11:$G$42)),0)</f>
        <v>0</v>
      </c>
      <c r="P122" s="130" t="n">
        <f aca="false">IFERROR(SUMPRODUCT(MAX((Valorant!$N$11:$N$26=$B122)*Valorant!$H$11:$H$26)),0)</f>
        <v>0</v>
      </c>
      <c r="Q122" s="130" t="n">
        <f aca="false">IFERROR(SUMPRODUCT(MAX(('MLBB (MSC)'!$M$11:$M$35=$B122)*'MLBB (MSC)'!$G$11:$G$35)),0)</f>
        <v>0</v>
      </c>
      <c r="R122" s="130" t="n">
        <f aca="false">IFERROR(SUMPRODUCT(MAX(('Apex Legends'!$O$11:$O$50=$B122)*'Apex Legends'!$I$11:$I$50)),0)</f>
        <v>0</v>
      </c>
      <c r="S122" s="130" t="n">
        <f aca="false">IFERROR(SUMPRODUCT(MAX(('Honor of Kings'!$N$11:$N$30=$B122)*'Honor of Kings'!$H$11:$H$30)),0)</f>
        <v>0</v>
      </c>
      <c r="T122" s="130" t="n">
        <f aca="false">IFERROR(SUMPRODUCT(MAX((CrossFire!$L$11:$L$26=$B122)*CrossFire!$F$11:$F$26)),0)</f>
        <v>0</v>
      </c>
      <c r="U122" s="130" t="n">
        <f aca="false">IFERROR(SUMPRODUCT(MAX(('Free Fire'!$M$11:$M$34=$B122)*'Free Fire'!$G$11:$G$34)),0)</f>
        <v>0</v>
      </c>
      <c r="V122" s="130" t="n">
        <f aca="false">IFERROR(SUMPRODUCT(MAX(('EA FC 26'!$N$11:$N$46=$B122)*'EA FC 26'!$H$11:$H$46)),0)</f>
        <v>0</v>
      </c>
      <c r="W122" s="130" t="n">
        <f aca="false">IFERROR(SUMPRODUCT(MAX(('Black Ops 7'!$O$11:$O$26=$B122)*'Black Ops 7'!$J$11:$J$26)),0)</f>
        <v>0</v>
      </c>
      <c r="X122" s="130" t="n">
        <f aca="false">IFERROR(SUMPRODUCT(MAX(('Rocket League'!$P$11:$P$26=$B122)*'Rocket League'!$J$11:$J$26)),0)</f>
        <v>0</v>
      </c>
      <c r="Y122" s="130" t="n">
        <f aca="false">IFERROR(SUMPRODUCT(MAX(('Overwatch 2'!$L$11:$L$26=$B122)*'Overwatch 2'!$F$11:$F$26)),0)</f>
        <v>0</v>
      </c>
      <c r="Z122" s="130" t="n">
        <f aca="false">IFERROR(SUMPRODUCT(MAX((PUBG!$L$11:$L$34=$B122)*PUBG!$F$11:$F$34)),0)</f>
        <v>0</v>
      </c>
      <c r="AA122" s="130" t="n">
        <f aca="false">IFERROR(SUMPRODUCT(MAX(('MLBB Women'!$L$11:$L$26=$B122)*'MLBB Women'!$F$11:$F$26)),0)</f>
        <v>0</v>
      </c>
      <c r="AB122" s="130" t="n">
        <f aca="false">SUM(C122:AA122)</f>
        <v>0</v>
      </c>
      <c r="AC122" s="130"/>
      <c r="AD122" s="200" t="n">
        <f aca="false">AB122-AC122</f>
        <v>0</v>
      </c>
      <c r="AE122" s="82" t="str">
        <f aca="false">IF(AB122=0,"not started",IF(AD122=0,"reconciled",IF(AD122&gt;0,"CHECK NAMES","in progress")))</f>
        <v>not started</v>
      </c>
    </row>
    <row r="123" customFormat="false" ht="15" hidden="false" customHeight="true" outlineLevel="0" collapsed="false">
      <c r="B123" s="92" t="s">
        <v>253</v>
      </c>
      <c r="C123" s="130" t="n">
        <f aca="false">IFERROR(SUMIF(CS2!$L$11:$L$42,$B123,CS2!$F$11:$F$42),0)</f>
        <v>0</v>
      </c>
      <c r="D123" s="130" t="n">
        <f aca="false">IFERROR(SUMPRODUCT(MAX((Chess!$L$11:$L$32=$B123)*Chess!$F$11:$F$32)),0)</f>
        <v>0</v>
      </c>
      <c r="E123" s="130" t="n">
        <f aca="false">IFERROR(SUMPRODUCT(MAX((LoL!$L$11:$L$26=$B123)*LoL!$F$11:$F$26)),0)</f>
        <v>0</v>
      </c>
      <c r="F123" s="130" t="n">
        <f aca="false">IFERROR(SUMPRODUCT(MAX(('PUBG Mobile'!$L$11:$L$42=$B123)*'PUBG Mobile'!$F$11:$F$42)),0)</f>
        <v>0</v>
      </c>
      <c r="G123" s="130" t="n">
        <f aca="false">IFERROR(SUMPRODUCT(MAX(('Fortnite Reload'!$L$11:$L$50=$B123)*'Fortnite Reload'!$F$11:$F$50)),0)</f>
        <v>0</v>
      </c>
      <c r="H123" s="130" t="n">
        <f aca="false">IFERROR(SUMPRODUCT(MAX((Trackmania!$M$11:$M$42=$B123)*Trackmania!$G$11:$G$42)),0)</f>
        <v>0</v>
      </c>
      <c r="I123" s="130" t="n">
        <f aca="false">IFERROR(SUMPRODUCT(MAX(('Dota 2'!$N$11:$N$34=$B123)*'Dota 2'!$H$11:$H$34)),0)</f>
        <v>0</v>
      </c>
      <c r="J123" s="130" t="n">
        <f aca="false">IFERROR(SUMPRODUCT(MAX(('Tekken 8'!$N$11:$N$42=$B123)*'Tekken 8'!$H$11:$H$42)),0)</f>
        <v>0</v>
      </c>
      <c r="K123" s="130" t="n">
        <f aca="false">IFERROR(SUMPRODUCT(MAX(('Street Fighter 6'!$O$11:$O$42=$B123)*'Street Fighter 6'!$I$11:$I$42)),0)</f>
        <v>0</v>
      </c>
      <c r="L123" s="130" t="n">
        <f aca="false">IFERROR(SUMPRODUCT(MAX(('Fatal Fury CotW'!$L$11:$L$42=$B123)*'Fatal Fury CotW'!$F$11:$F$42)),0)</f>
        <v>0</v>
      </c>
      <c r="M123" s="130" t="n">
        <f aca="false">IFERROR(SUMPRODUCT(MAX((TFT!$N$11:$N$26=$B123)*TFT!$H$11:$H$26)),0)</f>
        <v>0</v>
      </c>
      <c r="N123" s="130" t="n">
        <f aca="false">IFERROR(SUMPRODUCT(MAX(('Rainbow Six'!$P$11:$P$32=$B123)*'Rainbow Six'!$J$11:$J$32)),0)</f>
        <v>0</v>
      </c>
      <c r="O123" s="130" t="n">
        <f aca="false">IFERROR(SUMPRODUCT(MAX((Warzone!$M$11:$M$42=$B123)*Warzone!$G$11:$G$42)),0)</f>
        <v>0</v>
      </c>
      <c r="P123" s="130" t="n">
        <f aca="false">IFERROR(SUMPRODUCT(MAX((Valorant!$N$11:$N$26=$B123)*Valorant!$H$11:$H$26)),0)</f>
        <v>0</v>
      </c>
      <c r="Q123" s="130" t="n">
        <f aca="false">IFERROR(SUMPRODUCT(MAX(('MLBB (MSC)'!$M$11:$M$35=$B123)*'MLBB (MSC)'!$G$11:$G$35)),0)</f>
        <v>0</v>
      </c>
      <c r="R123" s="130" t="n">
        <f aca="false">IFERROR(SUMPRODUCT(MAX(('Apex Legends'!$O$11:$O$50=$B123)*'Apex Legends'!$I$11:$I$50)),0)</f>
        <v>0</v>
      </c>
      <c r="S123" s="130" t="n">
        <f aca="false">IFERROR(SUMPRODUCT(MAX(('Honor of Kings'!$N$11:$N$30=$B123)*'Honor of Kings'!$H$11:$H$30)),0)</f>
        <v>0</v>
      </c>
      <c r="T123" s="130" t="n">
        <f aca="false">IFERROR(SUMPRODUCT(MAX((CrossFire!$L$11:$L$26=$B123)*CrossFire!$F$11:$F$26)),0)</f>
        <v>0</v>
      </c>
      <c r="U123" s="130" t="n">
        <f aca="false">IFERROR(SUMPRODUCT(MAX(('Free Fire'!$M$11:$M$34=$B123)*'Free Fire'!$G$11:$G$34)),0)</f>
        <v>0</v>
      </c>
      <c r="V123" s="130" t="n">
        <f aca="false">IFERROR(SUMPRODUCT(MAX(('EA FC 26'!$N$11:$N$46=$B123)*'EA FC 26'!$H$11:$H$46)),0)</f>
        <v>0</v>
      </c>
      <c r="W123" s="130" t="n">
        <f aca="false">IFERROR(SUMPRODUCT(MAX(('Black Ops 7'!$O$11:$O$26=$B123)*'Black Ops 7'!$J$11:$J$26)),0)</f>
        <v>0</v>
      </c>
      <c r="X123" s="130" t="n">
        <f aca="false">IFERROR(SUMPRODUCT(MAX(('Rocket League'!$P$11:$P$26=$B123)*'Rocket League'!$J$11:$J$26)),0)</f>
        <v>0</v>
      </c>
      <c r="Y123" s="130" t="n">
        <f aca="false">IFERROR(SUMPRODUCT(MAX(('Overwatch 2'!$L$11:$L$26=$B123)*'Overwatch 2'!$F$11:$F$26)),0)</f>
        <v>0</v>
      </c>
      <c r="Z123" s="130" t="n">
        <f aca="false">IFERROR(SUMPRODUCT(MAX((PUBG!$L$11:$L$34=$B123)*PUBG!$F$11:$F$34)),0)</f>
        <v>0</v>
      </c>
      <c r="AA123" s="130" t="n">
        <f aca="false">IFERROR(SUMPRODUCT(MAX(('MLBB Women'!$L$11:$L$26=$B123)*'MLBB Women'!$F$11:$F$26)),0)</f>
        <v>0</v>
      </c>
      <c r="AB123" s="130" t="n">
        <f aca="false">SUM(C123:AA123)</f>
        <v>0</v>
      </c>
      <c r="AC123" s="130"/>
      <c r="AD123" s="200" t="n">
        <f aca="false">AB123-AC123</f>
        <v>0</v>
      </c>
      <c r="AE123" s="82" t="str">
        <f aca="false">IF(AB123=0,"not started",IF(AD123=0,"reconciled",IF(AD123&gt;0,"CHECK NAMES","in progress")))</f>
        <v>not started</v>
      </c>
    </row>
    <row r="124" customFormat="false" ht="15" hidden="false" customHeight="true" outlineLevel="0" collapsed="false">
      <c r="B124" s="92" t="s">
        <v>328</v>
      </c>
      <c r="C124" s="130" t="n">
        <f aca="false">IFERROR(SUMIF(CS2!$L$11:$L$42,$B124,CS2!$F$11:$F$42),0)</f>
        <v>0</v>
      </c>
      <c r="D124" s="130" t="n">
        <f aca="false">IFERROR(SUMPRODUCT(MAX((Chess!$L$11:$L$32=$B124)*Chess!$F$11:$F$32)),0)</f>
        <v>0</v>
      </c>
      <c r="E124" s="130" t="n">
        <f aca="false">IFERROR(SUMPRODUCT(MAX((LoL!$L$11:$L$26=$B124)*LoL!$F$11:$F$26)),0)</f>
        <v>0</v>
      </c>
      <c r="F124" s="130" t="n">
        <f aca="false">IFERROR(SUMPRODUCT(MAX(('PUBG Mobile'!$L$11:$L$42=$B124)*'PUBG Mobile'!$F$11:$F$42)),0)</f>
        <v>0</v>
      </c>
      <c r="G124" s="130" t="n">
        <f aca="false">IFERROR(SUMPRODUCT(MAX(('Fortnite Reload'!$L$11:$L$50=$B124)*'Fortnite Reload'!$F$11:$F$50)),0)</f>
        <v>0</v>
      </c>
      <c r="H124" s="130" t="n">
        <f aca="false">IFERROR(SUMPRODUCT(MAX((Trackmania!$M$11:$M$42=$B124)*Trackmania!$G$11:$G$42)),0)</f>
        <v>0</v>
      </c>
      <c r="I124" s="130" t="n">
        <f aca="false">IFERROR(SUMPRODUCT(MAX(('Dota 2'!$N$11:$N$34=$B124)*'Dota 2'!$H$11:$H$34)),0)</f>
        <v>0</v>
      </c>
      <c r="J124" s="130" t="n">
        <f aca="false">IFERROR(SUMPRODUCT(MAX(('Tekken 8'!$N$11:$N$42=$B124)*'Tekken 8'!$H$11:$H$42)),0)</f>
        <v>0</v>
      </c>
      <c r="K124" s="130" t="n">
        <f aca="false">IFERROR(SUMPRODUCT(MAX(('Street Fighter 6'!$O$11:$O$42=$B124)*'Street Fighter 6'!$I$11:$I$42)),0)</f>
        <v>0</v>
      </c>
      <c r="L124" s="130" t="n">
        <f aca="false">IFERROR(SUMPRODUCT(MAX(('Fatal Fury CotW'!$L$11:$L$42=$B124)*'Fatal Fury CotW'!$F$11:$F$42)),0)</f>
        <v>0</v>
      </c>
      <c r="M124" s="130" t="n">
        <f aca="false">IFERROR(SUMPRODUCT(MAX((TFT!$N$11:$N$26=$B124)*TFT!$H$11:$H$26)),0)</f>
        <v>0</v>
      </c>
      <c r="N124" s="130" t="n">
        <f aca="false">IFERROR(SUMPRODUCT(MAX(('Rainbow Six'!$P$11:$P$32=$B124)*'Rainbow Six'!$J$11:$J$32)),0)</f>
        <v>0</v>
      </c>
      <c r="O124" s="130" t="n">
        <f aca="false">IFERROR(SUMPRODUCT(MAX((Warzone!$M$11:$M$42=$B124)*Warzone!$G$11:$G$42)),0)</f>
        <v>0</v>
      </c>
      <c r="P124" s="130" t="n">
        <f aca="false">IFERROR(SUMPRODUCT(MAX((Valorant!$N$11:$N$26=$B124)*Valorant!$H$11:$H$26)),0)</f>
        <v>0</v>
      </c>
      <c r="Q124" s="130" t="n">
        <f aca="false">IFERROR(SUMPRODUCT(MAX(('MLBB (MSC)'!$M$11:$M$35=$B124)*'MLBB (MSC)'!$G$11:$G$35)),0)</f>
        <v>0</v>
      </c>
      <c r="R124" s="130" t="n">
        <f aca="false">IFERROR(SUMPRODUCT(MAX(('Apex Legends'!$O$11:$O$50=$B124)*'Apex Legends'!$I$11:$I$50)),0)</f>
        <v>0</v>
      </c>
      <c r="S124" s="130" t="n">
        <f aca="false">IFERROR(SUMPRODUCT(MAX(('Honor of Kings'!$N$11:$N$30=$B124)*'Honor of Kings'!$H$11:$H$30)),0)</f>
        <v>0</v>
      </c>
      <c r="T124" s="130" t="n">
        <f aca="false">IFERROR(SUMPRODUCT(MAX((CrossFire!$L$11:$L$26=$B124)*CrossFire!$F$11:$F$26)),0)</f>
        <v>0</v>
      </c>
      <c r="U124" s="130" t="n">
        <f aca="false">IFERROR(SUMPRODUCT(MAX(('Free Fire'!$M$11:$M$34=$B124)*'Free Fire'!$G$11:$G$34)),0)</f>
        <v>0</v>
      </c>
      <c r="V124" s="130" t="n">
        <f aca="false">IFERROR(SUMPRODUCT(MAX(('EA FC 26'!$N$11:$N$46=$B124)*'EA FC 26'!$H$11:$H$46)),0)</f>
        <v>0</v>
      </c>
      <c r="W124" s="130" t="n">
        <f aca="false">IFERROR(SUMPRODUCT(MAX(('Black Ops 7'!$O$11:$O$26=$B124)*'Black Ops 7'!$J$11:$J$26)),0)</f>
        <v>0</v>
      </c>
      <c r="X124" s="130" t="n">
        <f aca="false">IFERROR(SUMPRODUCT(MAX(('Rocket League'!$P$11:$P$26=$B124)*'Rocket League'!$J$11:$J$26)),0)</f>
        <v>0</v>
      </c>
      <c r="Y124" s="130" t="n">
        <f aca="false">IFERROR(SUMPRODUCT(MAX(('Overwatch 2'!$L$11:$L$26=$B124)*'Overwatch 2'!$F$11:$F$26)),0)</f>
        <v>0</v>
      </c>
      <c r="Z124" s="130" t="n">
        <f aca="false">IFERROR(SUMPRODUCT(MAX((PUBG!$L$11:$L$34=$B124)*PUBG!$F$11:$F$34)),0)</f>
        <v>0</v>
      </c>
      <c r="AA124" s="130" t="n">
        <f aca="false">IFERROR(SUMPRODUCT(MAX(('MLBB Women'!$L$11:$L$26=$B124)*'MLBB Women'!$F$11:$F$26)),0)</f>
        <v>0</v>
      </c>
      <c r="AB124" s="130" t="n">
        <f aca="false">SUM(C124:AA124)</f>
        <v>0</v>
      </c>
      <c r="AC124" s="130"/>
      <c r="AD124" s="200" t="n">
        <f aca="false">AB124-AC124</f>
        <v>0</v>
      </c>
      <c r="AE124" s="82" t="str">
        <f aca="false">IF(AB124=0,"not started",IF(AD124=0,"reconciled",IF(AD124&gt;0,"CHECK NAMES","in progress")))</f>
        <v>not started</v>
      </c>
    </row>
    <row r="125" customFormat="false" ht="15" hidden="false" customHeight="true" outlineLevel="0" collapsed="false">
      <c r="B125" s="92" t="s">
        <v>401</v>
      </c>
      <c r="C125" s="130" t="n">
        <f aca="false">IFERROR(SUMIF(CS2!$L$11:$L$42,$B125,CS2!$F$11:$F$42),0)</f>
        <v>0</v>
      </c>
      <c r="D125" s="130" t="n">
        <f aca="false">IFERROR(SUMPRODUCT(MAX((Chess!$L$11:$L$32=$B125)*Chess!$F$11:$F$32)),0)</f>
        <v>0</v>
      </c>
      <c r="E125" s="130" t="n">
        <f aca="false">IFERROR(SUMPRODUCT(MAX((LoL!$L$11:$L$26=$B125)*LoL!$F$11:$F$26)),0)</f>
        <v>0</v>
      </c>
      <c r="F125" s="130" t="n">
        <f aca="false">IFERROR(SUMPRODUCT(MAX(('PUBG Mobile'!$L$11:$L$42=$B125)*'PUBG Mobile'!$F$11:$F$42)),0)</f>
        <v>0</v>
      </c>
      <c r="G125" s="130" t="n">
        <f aca="false">IFERROR(SUMPRODUCT(MAX(('Fortnite Reload'!$L$11:$L$50=$B125)*'Fortnite Reload'!$F$11:$F$50)),0)</f>
        <v>0</v>
      </c>
      <c r="H125" s="130" t="n">
        <f aca="false">IFERROR(SUMPRODUCT(MAX((Trackmania!$M$11:$M$42=$B125)*Trackmania!$G$11:$G$42)),0)</f>
        <v>0</v>
      </c>
      <c r="I125" s="130" t="n">
        <f aca="false">IFERROR(SUMPRODUCT(MAX(('Dota 2'!$N$11:$N$34=$B125)*'Dota 2'!$H$11:$H$34)),0)</f>
        <v>0</v>
      </c>
      <c r="J125" s="130" t="n">
        <f aca="false">IFERROR(SUMPRODUCT(MAX(('Tekken 8'!$N$11:$N$42=$B125)*'Tekken 8'!$H$11:$H$42)),0)</f>
        <v>0</v>
      </c>
      <c r="K125" s="130" t="n">
        <f aca="false">IFERROR(SUMPRODUCT(MAX(('Street Fighter 6'!$O$11:$O$42=$B125)*'Street Fighter 6'!$I$11:$I$42)),0)</f>
        <v>0</v>
      </c>
      <c r="L125" s="130" t="n">
        <f aca="false">IFERROR(SUMPRODUCT(MAX(('Fatal Fury CotW'!$L$11:$L$42=$B125)*'Fatal Fury CotW'!$F$11:$F$42)),0)</f>
        <v>0</v>
      </c>
      <c r="M125" s="130" t="n">
        <f aca="false">IFERROR(SUMPRODUCT(MAX((TFT!$N$11:$N$26=$B125)*TFT!$H$11:$H$26)),0)</f>
        <v>0</v>
      </c>
      <c r="N125" s="130" t="n">
        <f aca="false">IFERROR(SUMPRODUCT(MAX(('Rainbow Six'!$P$11:$P$32=$B125)*'Rainbow Six'!$J$11:$J$32)),0)</f>
        <v>0</v>
      </c>
      <c r="O125" s="130" t="n">
        <f aca="false">IFERROR(SUMPRODUCT(MAX((Warzone!$M$11:$M$42=$B125)*Warzone!$G$11:$G$42)),0)</f>
        <v>0</v>
      </c>
      <c r="P125" s="130" t="n">
        <f aca="false">IFERROR(SUMPRODUCT(MAX((Valorant!$N$11:$N$26=$B125)*Valorant!$H$11:$H$26)),0)</f>
        <v>0</v>
      </c>
      <c r="Q125" s="130" t="n">
        <f aca="false">IFERROR(SUMPRODUCT(MAX(('MLBB (MSC)'!$M$11:$M$35=$B125)*'MLBB (MSC)'!$G$11:$G$35)),0)</f>
        <v>0</v>
      </c>
      <c r="R125" s="130" t="n">
        <f aca="false">IFERROR(SUMPRODUCT(MAX(('Apex Legends'!$O$11:$O$50=$B125)*'Apex Legends'!$I$11:$I$50)),0)</f>
        <v>0</v>
      </c>
      <c r="S125" s="130" t="n">
        <f aca="false">IFERROR(SUMPRODUCT(MAX(('Honor of Kings'!$N$11:$N$30=$B125)*'Honor of Kings'!$H$11:$H$30)),0)</f>
        <v>0</v>
      </c>
      <c r="T125" s="130" t="n">
        <f aca="false">IFERROR(SUMPRODUCT(MAX((CrossFire!$L$11:$L$26=$B125)*CrossFire!$F$11:$F$26)),0)</f>
        <v>0</v>
      </c>
      <c r="U125" s="130" t="n">
        <f aca="false">IFERROR(SUMPRODUCT(MAX(('Free Fire'!$M$11:$M$34=$B125)*'Free Fire'!$G$11:$G$34)),0)</f>
        <v>0</v>
      </c>
      <c r="V125" s="130" t="n">
        <f aca="false">IFERROR(SUMPRODUCT(MAX(('EA FC 26'!$N$11:$N$46=$B125)*'EA FC 26'!$H$11:$H$46)),0)</f>
        <v>0</v>
      </c>
      <c r="W125" s="130" t="n">
        <f aca="false">IFERROR(SUMPRODUCT(MAX(('Black Ops 7'!$O$11:$O$26=$B125)*'Black Ops 7'!$J$11:$J$26)),0)</f>
        <v>0</v>
      </c>
      <c r="X125" s="130" t="n">
        <f aca="false">IFERROR(SUMPRODUCT(MAX(('Rocket League'!$P$11:$P$26=$B125)*'Rocket League'!$J$11:$J$26)),0)</f>
        <v>0</v>
      </c>
      <c r="Y125" s="130" t="n">
        <f aca="false">IFERROR(SUMPRODUCT(MAX(('Overwatch 2'!$L$11:$L$26=$B125)*'Overwatch 2'!$F$11:$F$26)),0)</f>
        <v>0</v>
      </c>
      <c r="Z125" s="130" t="n">
        <f aca="false">IFERROR(SUMPRODUCT(MAX((PUBG!$L$11:$L$34=$B125)*PUBG!$F$11:$F$34)),0)</f>
        <v>0</v>
      </c>
      <c r="AA125" s="130" t="n">
        <f aca="false">IFERROR(SUMPRODUCT(MAX(('MLBB Women'!$L$11:$L$26=$B125)*'MLBB Women'!$F$11:$F$26)),0)</f>
        <v>0</v>
      </c>
      <c r="AB125" s="130" t="n">
        <f aca="false">SUM(C125:AA125)</f>
        <v>0</v>
      </c>
      <c r="AC125" s="130"/>
      <c r="AD125" s="200" t="n">
        <f aca="false">AB125-AC125</f>
        <v>0</v>
      </c>
      <c r="AE125" s="82" t="str">
        <f aca="false">IF(AB125=0,"not started",IF(AD125=0,"reconciled",IF(AD125&gt;0,"CHECK NAMES","in progress")))</f>
        <v>not started</v>
      </c>
    </row>
    <row r="126" customFormat="false" ht="15" hidden="false" customHeight="true" outlineLevel="0" collapsed="false">
      <c r="B126" s="92" t="s">
        <v>384</v>
      </c>
      <c r="C126" s="130" t="n">
        <f aca="false">IFERROR(SUMIF(CS2!$L$11:$L$42,$B126,CS2!$F$11:$F$42),0)</f>
        <v>0</v>
      </c>
      <c r="D126" s="130" t="n">
        <f aca="false">IFERROR(SUMPRODUCT(MAX((Chess!$L$11:$L$32=$B126)*Chess!$F$11:$F$32)),0)</f>
        <v>0</v>
      </c>
      <c r="E126" s="130" t="n">
        <f aca="false">IFERROR(SUMPRODUCT(MAX((LoL!$L$11:$L$26=$B126)*LoL!$F$11:$F$26)),0)</f>
        <v>0</v>
      </c>
      <c r="F126" s="130" t="n">
        <f aca="false">IFERROR(SUMPRODUCT(MAX(('PUBG Mobile'!$L$11:$L$42=$B126)*'PUBG Mobile'!$F$11:$F$42)),0)</f>
        <v>0</v>
      </c>
      <c r="G126" s="130" t="n">
        <f aca="false">IFERROR(SUMPRODUCT(MAX(('Fortnite Reload'!$L$11:$L$50=$B126)*'Fortnite Reload'!$F$11:$F$50)),0)</f>
        <v>0</v>
      </c>
      <c r="H126" s="130" t="n">
        <f aca="false">IFERROR(SUMPRODUCT(MAX((Trackmania!$M$11:$M$42=$B126)*Trackmania!$G$11:$G$42)),0)</f>
        <v>0</v>
      </c>
      <c r="I126" s="130" t="n">
        <f aca="false">IFERROR(SUMPRODUCT(MAX(('Dota 2'!$N$11:$N$34=$B126)*'Dota 2'!$H$11:$H$34)),0)</f>
        <v>0</v>
      </c>
      <c r="J126" s="130" t="n">
        <f aca="false">IFERROR(SUMPRODUCT(MAX(('Tekken 8'!$N$11:$N$42=$B126)*'Tekken 8'!$H$11:$H$42)),0)</f>
        <v>0</v>
      </c>
      <c r="K126" s="130" t="n">
        <f aca="false">IFERROR(SUMPRODUCT(MAX(('Street Fighter 6'!$O$11:$O$42=$B126)*'Street Fighter 6'!$I$11:$I$42)),0)</f>
        <v>0</v>
      </c>
      <c r="L126" s="130" t="n">
        <f aca="false">IFERROR(SUMPRODUCT(MAX(('Fatal Fury CotW'!$L$11:$L$42=$B126)*'Fatal Fury CotW'!$F$11:$F$42)),0)</f>
        <v>0</v>
      </c>
      <c r="M126" s="130" t="n">
        <f aca="false">IFERROR(SUMPRODUCT(MAX((TFT!$N$11:$N$26=$B126)*TFT!$H$11:$H$26)),0)</f>
        <v>0</v>
      </c>
      <c r="N126" s="130" t="n">
        <f aca="false">IFERROR(SUMPRODUCT(MAX(('Rainbow Six'!$P$11:$P$32=$B126)*'Rainbow Six'!$J$11:$J$32)),0)</f>
        <v>0</v>
      </c>
      <c r="O126" s="130" t="n">
        <f aca="false">IFERROR(SUMPRODUCT(MAX((Warzone!$M$11:$M$42=$B126)*Warzone!$G$11:$G$42)),0)</f>
        <v>0</v>
      </c>
      <c r="P126" s="130" t="n">
        <f aca="false">IFERROR(SUMPRODUCT(MAX((Valorant!$N$11:$N$26=$B126)*Valorant!$H$11:$H$26)),0)</f>
        <v>0</v>
      </c>
      <c r="Q126" s="130" t="n">
        <f aca="false">IFERROR(SUMPRODUCT(MAX(('MLBB (MSC)'!$M$11:$M$35=$B126)*'MLBB (MSC)'!$G$11:$G$35)),0)</f>
        <v>0</v>
      </c>
      <c r="R126" s="130" t="n">
        <f aca="false">IFERROR(SUMPRODUCT(MAX(('Apex Legends'!$O$11:$O$50=$B126)*'Apex Legends'!$I$11:$I$50)),0)</f>
        <v>0</v>
      </c>
      <c r="S126" s="130" t="n">
        <f aca="false">IFERROR(SUMPRODUCT(MAX(('Honor of Kings'!$N$11:$N$30=$B126)*'Honor of Kings'!$H$11:$H$30)),0)</f>
        <v>0</v>
      </c>
      <c r="T126" s="130" t="n">
        <f aca="false">IFERROR(SUMPRODUCT(MAX((CrossFire!$L$11:$L$26=$B126)*CrossFire!$F$11:$F$26)),0)</f>
        <v>0</v>
      </c>
      <c r="U126" s="130" t="n">
        <f aca="false">IFERROR(SUMPRODUCT(MAX(('Free Fire'!$M$11:$M$34=$B126)*'Free Fire'!$G$11:$G$34)),0)</f>
        <v>0</v>
      </c>
      <c r="V126" s="130" t="n">
        <f aca="false">IFERROR(SUMPRODUCT(MAX(('EA FC 26'!$N$11:$N$46=$B126)*'EA FC 26'!$H$11:$H$46)),0)</f>
        <v>0</v>
      </c>
      <c r="W126" s="130" t="n">
        <f aca="false">IFERROR(SUMPRODUCT(MAX(('Black Ops 7'!$O$11:$O$26=$B126)*'Black Ops 7'!$J$11:$J$26)),0)</f>
        <v>0</v>
      </c>
      <c r="X126" s="130" t="n">
        <f aca="false">IFERROR(SUMPRODUCT(MAX(('Rocket League'!$P$11:$P$26=$B126)*'Rocket League'!$J$11:$J$26)),0)</f>
        <v>0</v>
      </c>
      <c r="Y126" s="130" t="n">
        <f aca="false">IFERROR(SUMPRODUCT(MAX(('Overwatch 2'!$L$11:$L$26=$B126)*'Overwatch 2'!$F$11:$F$26)),0)</f>
        <v>0</v>
      </c>
      <c r="Z126" s="130" t="n">
        <f aca="false">IFERROR(SUMPRODUCT(MAX((PUBG!$L$11:$L$34=$B126)*PUBG!$F$11:$F$34)),0)</f>
        <v>0</v>
      </c>
      <c r="AA126" s="130" t="n">
        <f aca="false">IFERROR(SUMPRODUCT(MAX(('MLBB Women'!$L$11:$L$26=$B126)*'MLBB Women'!$F$11:$F$26)),0)</f>
        <v>0</v>
      </c>
      <c r="AB126" s="130" t="n">
        <f aca="false">SUM(C126:AA126)</f>
        <v>0</v>
      </c>
      <c r="AC126" s="130"/>
      <c r="AD126" s="200" t="n">
        <f aca="false">AB126-AC126</f>
        <v>0</v>
      </c>
      <c r="AE126" s="82" t="str">
        <f aca="false">IF(AB126=0,"not started",IF(AD126=0,"reconciled",IF(AD126&gt;0,"CHECK NAMES","in progress")))</f>
        <v>not started</v>
      </c>
    </row>
    <row r="127" customFormat="false" ht="15" hidden="false" customHeight="true" outlineLevel="0" collapsed="false">
      <c r="B127" s="92" t="s">
        <v>226</v>
      </c>
      <c r="C127" s="130" t="n">
        <f aca="false">IFERROR(SUMIF(CS2!$L$11:$L$42,$B127,CS2!$F$11:$F$42),0)</f>
        <v>0</v>
      </c>
      <c r="D127" s="130" t="n">
        <f aca="false">IFERROR(SUMPRODUCT(MAX((Chess!$L$11:$L$32=$B127)*Chess!$F$11:$F$32)),0)</f>
        <v>0</v>
      </c>
      <c r="E127" s="130" t="n">
        <f aca="false">IFERROR(SUMPRODUCT(MAX((LoL!$L$11:$L$26=$B127)*LoL!$F$11:$F$26)),0)</f>
        <v>0</v>
      </c>
      <c r="F127" s="130" t="n">
        <f aca="false">IFERROR(SUMPRODUCT(MAX(('PUBG Mobile'!$L$11:$L$42=$B127)*'PUBG Mobile'!$F$11:$F$42)),0)</f>
        <v>0</v>
      </c>
      <c r="G127" s="130" t="n">
        <f aca="false">IFERROR(SUMPRODUCT(MAX(('Fortnite Reload'!$L$11:$L$50=$B127)*'Fortnite Reload'!$F$11:$F$50)),0)</f>
        <v>0</v>
      </c>
      <c r="H127" s="130" t="n">
        <f aca="false">IFERROR(SUMPRODUCT(MAX((Trackmania!$M$11:$M$42=$B127)*Trackmania!$G$11:$G$42)),0)</f>
        <v>0</v>
      </c>
      <c r="I127" s="130" t="n">
        <f aca="false">IFERROR(SUMPRODUCT(MAX(('Dota 2'!$N$11:$N$34=$B127)*'Dota 2'!$H$11:$H$34)),0)</f>
        <v>0</v>
      </c>
      <c r="J127" s="130" t="n">
        <f aca="false">IFERROR(SUMPRODUCT(MAX(('Tekken 8'!$N$11:$N$42=$B127)*'Tekken 8'!$H$11:$H$42)),0)</f>
        <v>0</v>
      </c>
      <c r="K127" s="130" t="n">
        <f aca="false">IFERROR(SUMPRODUCT(MAX(('Street Fighter 6'!$O$11:$O$42=$B127)*'Street Fighter 6'!$I$11:$I$42)),0)</f>
        <v>0</v>
      </c>
      <c r="L127" s="130" t="n">
        <f aca="false">IFERROR(SUMPRODUCT(MAX(('Fatal Fury CotW'!$L$11:$L$42=$B127)*'Fatal Fury CotW'!$F$11:$F$42)),0)</f>
        <v>0</v>
      </c>
      <c r="M127" s="130" t="n">
        <f aca="false">IFERROR(SUMPRODUCT(MAX((TFT!$N$11:$N$26=$B127)*TFT!$H$11:$H$26)),0)</f>
        <v>0</v>
      </c>
      <c r="N127" s="130" t="n">
        <f aca="false">IFERROR(SUMPRODUCT(MAX(('Rainbow Six'!$P$11:$P$32=$B127)*'Rainbow Six'!$J$11:$J$32)),0)</f>
        <v>0</v>
      </c>
      <c r="O127" s="130" t="n">
        <f aca="false">IFERROR(SUMPRODUCT(MAX((Warzone!$M$11:$M$42=$B127)*Warzone!$G$11:$G$42)),0)</f>
        <v>0</v>
      </c>
      <c r="P127" s="130" t="n">
        <f aca="false">IFERROR(SUMPRODUCT(MAX((Valorant!$N$11:$N$26=$B127)*Valorant!$H$11:$H$26)),0)</f>
        <v>0</v>
      </c>
      <c r="Q127" s="130" t="n">
        <f aca="false">IFERROR(SUMPRODUCT(MAX(('MLBB (MSC)'!$M$11:$M$35=$B127)*'MLBB (MSC)'!$G$11:$G$35)),0)</f>
        <v>0</v>
      </c>
      <c r="R127" s="130" t="n">
        <f aca="false">IFERROR(SUMPRODUCT(MAX(('Apex Legends'!$O$11:$O$50=$B127)*'Apex Legends'!$I$11:$I$50)),0)</f>
        <v>0</v>
      </c>
      <c r="S127" s="130" t="n">
        <f aca="false">IFERROR(SUMPRODUCT(MAX(('Honor of Kings'!$N$11:$N$30=$B127)*'Honor of Kings'!$H$11:$H$30)),0)</f>
        <v>0</v>
      </c>
      <c r="T127" s="130" t="n">
        <f aca="false">IFERROR(SUMPRODUCT(MAX((CrossFire!$L$11:$L$26=$B127)*CrossFire!$F$11:$F$26)),0)</f>
        <v>0</v>
      </c>
      <c r="U127" s="130" t="n">
        <f aca="false">IFERROR(SUMPRODUCT(MAX(('Free Fire'!$M$11:$M$34=$B127)*'Free Fire'!$G$11:$G$34)),0)</f>
        <v>0</v>
      </c>
      <c r="V127" s="130" t="n">
        <f aca="false">IFERROR(SUMPRODUCT(MAX(('EA FC 26'!$N$11:$N$46=$B127)*'EA FC 26'!$H$11:$H$46)),0)</f>
        <v>0</v>
      </c>
      <c r="W127" s="130" t="n">
        <f aca="false">IFERROR(SUMPRODUCT(MAX(('Black Ops 7'!$O$11:$O$26=$B127)*'Black Ops 7'!$J$11:$J$26)),0)</f>
        <v>0</v>
      </c>
      <c r="X127" s="130" t="n">
        <f aca="false">IFERROR(SUMPRODUCT(MAX(('Rocket League'!$P$11:$P$26=$B127)*'Rocket League'!$J$11:$J$26)),0)</f>
        <v>0</v>
      </c>
      <c r="Y127" s="130" t="n">
        <f aca="false">IFERROR(SUMPRODUCT(MAX(('Overwatch 2'!$L$11:$L$26=$B127)*'Overwatch 2'!$F$11:$F$26)),0)</f>
        <v>0</v>
      </c>
      <c r="Z127" s="130" t="n">
        <f aca="false">IFERROR(SUMPRODUCT(MAX((PUBG!$L$11:$L$34=$B127)*PUBG!$F$11:$F$34)),0)</f>
        <v>0</v>
      </c>
      <c r="AA127" s="130" t="n">
        <f aca="false">IFERROR(SUMPRODUCT(MAX(('MLBB Women'!$L$11:$L$26=$B127)*'MLBB Women'!$F$11:$F$26)),0)</f>
        <v>0</v>
      </c>
      <c r="AB127" s="130" t="n">
        <f aca="false">SUM(C127:AA127)</f>
        <v>0</v>
      </c>
      <c r="AC127" s="130"/>
      <c r="AD127" s="200" t="n">
        <f aca="false">AB127-AC127</f>
        <v>0</v>
      </c>
      <c r="AE127" s="82" t="str">
        <f aca="false">IF(AB127=0,"not started",IF(AD127=0,"reconciled",IF(AD127&gt;0,"CHECK NAMES","in progress")))</f>
        <v>not started</v>
      </c>
    </row>
    <row r="128" customFormat="false" ht="15" hidden="false" customHeight="true" outlineLevel="0" collapsed="false">
      <c r="B128" s="92" t="s">
        <v>298</v>
      </c>
      <c r="C128" s="130" t="n">
        <f aca="false">IFERROR(SUMIF(CS2!$L$11:$L$42,$B128,CS2!$F$11:$F$42),0)</f>
        <v>0</v>
      </c>
      <c r="D128" s="130" t="n">
        <f aca="false">IFERROR(SUMPRODUCT(MAX((Chess!$L$11:$L$32=$B128)*Chess!$F$11:$F$32)),0)</f>
        <v>0</v>
      </c>
      <c r="E128" s="130" t="n">
        <f aca="false">IFERROR(SUMPRODUCT(MAX((LoL!$L$11:$L$26=$B128)*LoL!$F$11:$F$26)),0)</f>
        <v>0</v>
      </c>
      <c r="F128" s="130" t="n">
        <f aca="false">IFERROR(SUMPRODUCT(MAX(('PUBG Mobile'!$L$11:$L$42=$B128)*'PUBG Mobile'!$F$11:$F$42)),0)</f>
        <v>0</v>
      </c>
      <c r="G128" s="130" t="n">
        <f aca="false">IFERROR(SUMPRODUCT(MAX(('Fortnite Reload'!$L$11:$L$50=$B128)*'Fortnite Reload'!$F$11:$F$50)),0)</f>
        <v>0</v>
      </c>
      <c r="H128" s="130" t="n">
        <f aca="false">IFERROR(SUMPRODUCT(MAX((Trackmania!$M$11:$M$42=$B128)*Trackmania!$G$11:$G$42)),0)</f>
        <v>0</v>
      </c>
      <c r="I128" s="130" t="n">
        <f aca="false">IFERROR(SUMPRODUCT(MAX(('Dota 2'!$N$11:$N$34=$B128)*'Dota 2'!$H$11:$H$34)),0)</f>
        <v>0</v>
      </c>
      <c r="J128" s="130" t="n">
        <f aca="false">IFERROR(SUMPRODUCT(MAX(('Tekken 8'!$N$11:$N$42=$B128)*'Tekken 8'!$H$11:$H$42)),0)</f>
        <v>0</v>
      </c>
      <c r="K128" s="130" t="n">
        <f aca="false">IFERROR(SUMPRODUCT(MAX(('Street Fighter 6'!$O$11:$O$42=$B128)*'Street Fighter 6'!$I$11:$I$42)),0)</f>
        <v>0</v>
      </c>
      <c r="L128" s="130" t="n">
        <f aca="false">IFERROR(SUMPRODUCT(MAX(('Fatal Fury CotW'!$L$11:$L$42=$B128)*'Fatal Fury CotW'!$F$11:$F$42)),0)</f>
        <v>0</v>
      </c>
      <c r="M128" s="130" t="n">
        <f aca="false">IFERROR(SUMPRODUCT(MAX((TFT!$N$11:$N$26=$B128)*TFT!$H$11:$H$26)),0)</f>
        <v>0</v>
      </c>
      <c r="N128" s="130" t="n">
        <f aca="false">IFERROR(SUMPRODUCT(MAX(('Rainbow Six'!$P$11:$P$32=$B128)*'Rainbow Six'!$J$11:$J$32)),0)</f>
        <v>0</v>
      </c>
      <c r="O128" s="130" t="n">
        <f aca="false">IFERROR(SUMPRODUCT(MAX((Warzone!$M$11:$M$42=$B128)*Warzone!$G$11:$G$42)),0)</f>
        <v>0</v>
      </c>
      <c r="P128" s="130" t="n">
        <f aca="false">IFERROR(SUMPRODUCT(MAX((Valorant!$N$11:$N$26=$B128)*Valorant!$H$11:$H$26)),0)</f>
        <v>0</v>
      </c>
      <c r="Q128" s="130" t="n">
        <f aca="false">IFERROR(SUMPRODUCT(MAX(('MLBB (MSC)'!$M$11:$M$35=$B128)*'MLBB (MSC)'!$G$11:$G$35)),0)</f>
        <v>0</v>
      </c>
      <c r="R128" s="130" t="n">
        <f aca="false">IFERROR(SUMPRODUCT(MAX(('Apex Legends'!$O$11:$O$50=$B128)*'Apex Legends'!$I$11:$I$50)),0)</f>
        <v>0</v>
      </c>
      <c r="S128" s="130" t="n">
        <f aca="false">IFERROR(SUMPRODUCT(MAX(('Honor of Kings'!$N$11:$N$30=$B128)*'Honor of Kings'!$H$11:$H$30)),0)</f>
        <v>0</v>
      </c>
      <c r="T128" s="130" t="n">
        <f aca="false">IFERROR(SUMPRODUCT(MAX((CrossFire!$L$11:$L$26=$B128)*CrossFire!$F$11:$F$26)),0)</f>
        <v>0</v>
      </c>
      <c r="U128" s="130" t="n">
        <f aca="false">IFERROR(SUMPRODUCT(MAX(('Free Fire'!$M$11:$M$34=$B128)*'Free Fire'!$G$11:$G$34)),0)</f>
        <v>0</v>
      </c>
      <c r="V128" s="130" t="n">
        <f aca="false">IFERROR(SUMPRODUCT(MAX(('EA FC 26'!$N$11:$N$46=$B128)*'EA FC 26'!$H$11:$H$46)),0)</f>
        <v>0</v>
      </c>
      <c r="W128" s="130" t="n">
        <f aca="false">IFERROR(SUMPRODUCT(MAX(('Black Ops 7'!$O$11:$O$26=$B128)*'Black Ops 7'!$J$11:$J$26)),0)</f>
        <v>0</v>
      </c>
      <c r="X128" s="130" t="n">
        <f aca="false">IFERROR(SUMPRODUCT(MAX(('Rocket League'!$P$11:$P$26=$B128)*'Rocket League'!$J$11:$J$26)),0)</f>
        <v>0</v>
      </c>
      <c r="Y128" s="130" t="n">
        <f aca="false">IFERROR(SUMPRODUCT(MAX(('Overwatch 2'!$L$11:$L$26=$B128)*'Overwatch 2'!$F$11:$F$26)),0)</f>
        <v>0</v>
      </c>
      <c r="Z128" s="130" t="n">
        <f aca="false">IFERROR(SUMPRODUCT(MAX((PUBG!$L$11:$L$34=$B128)*PUBG!$F$11:$F$34)),0)</f>
        <v>0</v>
      </c>
      <c r="AA128" s="130" t="n">
        <f aca="false">IFERROR(SUMPRODUCT(MAX(('MLBB Women'!$L$11:$L$26=$B128)*'MLBB Women'!$F$11:$F$26)),0)</f>
        <v>0</v>
      </c>
      <c r="AB128" s="130" t="n">
        <f aca="false">SUM(C128:AA128)</f>
        <v>0</v>
      </c>
      <c r="AC128" s="130"/>
      <c r="AD128" s="200" t="n">
        <f aca="false">AB128-AC128</f>
        <v>0</v>
      </c>
      <c r="AE128" s="82" t="str">
        <f aca="false">IF(AB128=0,"not started",IF(AD128=0,"reconciled",IF(AD128&gt;0,"CHECK NAMES","in progress")))</f>
        <v>not started</v>
      </c>
    </row>
    <row r="129" customFormat="false" ht="15" hidden="false" customHeight="true" outlineLevel="0" collapsed="false">
      <c r="B129" s="92" t="s">
        <v>257</v>
      </c>
      <c r="C129" s="130" t="n">
        <f aca="false">IFERROR(SUMIF(CS2!$L$11:$L$42,$B129,CS2!$F$11:$F$42),0)</f>
        <v>0</v>
      </c>
      <c r="D129" s="130" t="n">
        <f aca="false">IFERROR(SUMPRODUCT(MAX((Chess!$L$11:$L$32=$B129)*Chess!$F$11:$F$32)),0)</f>
        <v>0</v>
      </c>
      <c r="E129" s="130" t="n">
        <f aca="false">IFERROR(SUMPRODUCT(MAX((LoL!$L$11:$L$26=$B129)*LoL!$F$11:$F$26)),0)</f>
        <v>0</v>
      </c>
      <c r="F129" s="130" t="n">
        <f aca="false">IFERROR(SUMPRODUCT(MAX(('PUBG Mobile'!$L$11:$L$42=$B129)*'PUBG Mobile'!$F$11:$F$42)),0)</f>
        <v>0</v>
      </c>
      <c r="G129" s="130" t="n">
        <f aca="false">IFERROR(SUMPRODUCT(MAX(('Fortnite Reload'!$L$11:$L$50=$B129)*'Fortnite Reload'!$F$11:$F$50)),0)</f>
        <v>0</v>
      </c>
      <c r="H129" s="130" t="n">
        <f aca="false">IFERROR(SUMPRODUCT(MAX((Trackmania!$M$11:$M$42=$B129)*Trackmania!$G$11:$G$42)),0)</f>
        <v>0</v>
      </c>
      <c r="I129" s="130" t="n">
        <f aca="false">IFERROR(SUMPRODUCT(MAX(('Dota 2'!$N$11:$N$34=$B129)*'Dota 2'!$H$11:$H$34)),0)</f>
        <v>0</v>
      </c>
      <c r="J129" s="130" t="n">
        <f aca="false">IFERROR(SUMPRODUCT(MAX(('Tekken 8'!$N$11:$N$42=$B129)*'Tekken 8'!$H$11:$H$42)),0)</f>
        <v>0</v>
      </c>
      <c r="K129" s="130" t="n">
        <f aca="false">IFERROR(SUMPRODUCT(MAX(('Street Fighter 6'!$O$11:$O$42=$B129)*'Street Fighter 6'!$I$11:$I$42)),0)</f>
        <v>0</v>
      </c>
      <c r="L129" s="130" t="n">
        <f aca="false">IFERROR(SUMPRODUCT(MAX(('Fatal Fury CotW'!$L$11:$L$42=$B129)*'Fatal Fury CotW'!$F$11:$F$42)),0)</f>
        <v>0</v>
      </c>
      <c r="M129" s="130" t="n">
        <f aca="false">IFERROR(SUMPRODUCT(MAX((TFT!$N$11:$N$26=$B129)*TFT!$H$11:$H$26)),0)</f>
        <v>0</v>
      </c>
      <c r="N129" s="130" t="n">
        <f aca="false">IFERROR(SUMPRODUCT(MAX(('Rainbow Six'!$P$11:$P$32=$B129)*'Rainbow Six'!$J$11:$J$32)),0)</f>
        <v>0</v>
      </c>
      <c r="O129" s="130" t="n">
        <f aca="false">IFERROR(SUMPRODUCT(MAX((Warzone!$M$11:$M$42=$B129)*Warzone!$G$11:$G$42)),0)</f>
        <v>0</v>
      </c>
      <c r="P129" s="130" t="n">
        <f aca="false">IFERROR(SUMPRODUCT(MAX((Valorant!$N$11:$N$26=$B129)*Valorant!$H$11:$H$26)),0)</f>
        <v>0</v>
      </c>
      <c r="Q129" s="130" t="n">
        <f aca="false">IFERROR(SUMPRODUCT(MAX(('MLBB (MSC)'!$M$11:$M$35=$B129)*'MLBB (MSC)'!$G$11:$G$35)),0)</f>
        <v>0</v>
      </c>
      <c r="R129" s="130" t="n">
        <f aca="false">IFERROR(SUMPRODUCT(MAX(('Apex Legends'!$O$11:$O$50=$B129)*'Apex Legends'!$I$11:$I$50)),0)</f>
        <v>0</v>
      </c>
      <c r="S129" s="130" t="n">
        <f aca="false">IFERROR(SUMPRODUCT(MAX(('Honor of Kings'!$N$11:$N$30=$B129)*'Honor of Kings'!$H$11:$H$30)),0)</f>
        <v>0</v>
      </c>
      <c r="T129" s="130" t="n">
        <f aca="false">IFERROR(SUMPRODUCT(MAX((CrossFire!$L$11:$L$26=$B129)*CrossFire!$F$11:$F$26)),0)</f>
        <v>0</v>
      </c>
      <c r="U129" s="130" t="n">
        <f aca="false">IFERROR(SUMPRODUCT(MAX(('Free Fire'!$M$11:$M$34=$B129)*'Free Fire'!$G$11:$G$34)),0)</f>
        <v>0</v>
      </c>
      <c r="V129" s="130" t="n">
        <f aca="false">IFERROR(SUMPRODUCT(MAX(('EA FC 26'!$N$11:$N$46=$B129)*'EA FC 26'!$H$11:$H$46)),0)</f>
        <v>0</v>
      </c>
      <c r="W129" s="130" t="n">
        <f aca="false">IFERROR(SUMPRODUCT(MAX(('Black Ops 7'!$O$11:$O$26=$B129)*'Black Ops 7'!$J$11:$J$26)),0)</f>
        <v>0</v>
      </c>
      <c r="X129" s="130" t="n">
        <f aca="false">IFERROR(SUMPRODUCT(MAX(('Rocket League'!$P$11:$P$26=$B129)*'Rocket League'!$J$11:$J$26)),0)</f>
        <v>0</v>
      </c>
      <c r="Y129" s="130" t="n">
        <f aca="false">IFERROR(SUMPRODUCT(MAX(('Overwatch 2'!$L$11:$L$26=$B129)*'Overwatch 2'!$F$11:$F$26)),0)</f>
        <v>0</v>
      </c>
      <c r="Z129" s="130" t="n">
        <f aca="false">IFERROR(SUMPRODUCT(MAX((PUBG!$L$11:$L$34=$B129)*PUBG!$F$11:$F$34)),0)</f>
        <v>0</v>
      </c>
      <c r="AA129" s="130" t="n">
        <f aca="false">IFERROR(SUMPRODUCT(MAX(('MLBB Women'!$L$11:$L$26=$B129)*'MLBB Women'!$F$11:$F$26)),0)</f>
        <v>0</v>
      </c>
      <c r="AB129" s="130" t="n">
        <f aca="false">SUM(C129:AA129)</f>
        <v>0</v>
      </c>
      <c r="AC129" s="130"/>
      <c r="AD129" s="200" t="n">
        <f aca="false">AB129-AC129</f>
        <v>0</v>
      </c>
      <c r="AE129" s="82" t="str">
        <f aca="false">IF(AB129=0,"not started",IF(AD129=0,"reconciled",IF(AD129&gt;0,"CHECK NAMES","in progress")))</f>
        <v>not started</v>
      </c>
    </row>
    <row r="130" customFormat="false" ht="15" hidden="false" customHeight="true" outlineLevel="0" collapsed="false">
      <c r="B130" s="92" t="s">
        <v>330</v>
      </c>
      <c r="C130" s="130" t="n">
        <f aca="false">IFERROR(SUMIF(CS2!$L$11:$L$42,$B130,CS2!$F$11:$F$42),0)</f>
        <v>0</v>
      </c>
      <c r="D130" s="130" t="n">
        <f aca="false">IFERROR(SUMPRODUCT(MAX((Chess!$L$11:$L$32=$B130)*Chess!$F$11:$F$32)),0)</f>
        <v>0</v>
      </c>
      <c r="E130" s="130" t="n">
        <f aca="false">IFERROR(SUMPRODUCT(MAX((LoL!$L$11:$L$26=$B130)*LoL!$F$11:$F$26)),0)</f>
        <v>0</v>
      </c>
      <c r="F130" s="130" t="n">
        <f aca="false">IFERROR(SUMPRODUCT(MAX(('PUBG Mobile'!$L$11:$L$42=$B130)*'PUBG Mobile'!$F$11:$F$42)),0)</f>
        <v>0</v>
      </c>
      <c r="G130" s="130" t="n">
        <f aca="false">IFERROR(SUMPRODUCT(MAX(('Fortnite Reload'!$L$11:$L$50=$B130)*'Fortnite Reload'!$F$11:$F$50)),0)</f>
        <v>0</v>
      </c>
      <c r="H130" s="130" t="n">
        <f aca="false">IFERROR(SUMPRODUCT(MAX((Trackmania!$M$11:$M$42=$B130)*Trackmania!$G$11:$G$42)),0)</f>
        <v>0</v>
      </c>
      <c r="I130" s="130" t="n">
        <f aca="false">IFERROR(SUMPRODUCT(MAX(('Dota 2'!$N$11:$N$34=$B130)*'Dota 2'!$H$11:$H$34)),0)</f>
        <v>0</v>
      </c>
      <c r="J130" s="130" t="n">
        <f aca="false">IFERROR(SUMPRODUCT(MAX(('Tekken 8'!$N$11:$N$42=$B130)*'Tekken 8'!$H$11:$H$42)),0)</f>
        <v>0</v>
      </c>
      <c r="K130" s="130" t="n">
        <f aca="false">IFERROR(SUMPRODUCT(MAX(('Street Fighter 6'!$O$11:$O$42=$B130)*'Street Fighter 6'!$I$11:$I$42)),0)</f>
        <v>0</v>
      </c>
      <c r="L130" s="130" t="n">
        <f aca="false">IFERROR(SUMPRODUCT(MAX(('Fatal Fury CotW'!$L$11:$L$42=$B130)*'Fatal Fury CotW'!$F$11:$F$42)),0)</f>
        <v>0</v>
      </c>
      <c r="M130" s="130" t="n">
        <f aca="false">IFERROR(SUMPRODUCT(MAX((TFT!$N$11:$N$26=$B130)*TFT!$H$11:$H$26)),0)</f>
        <v>0</v>
      </c>
      <c r="N130" s="130" t="n">
        <f aca="false">IFERROR(SUMPRODUCT(MAX(('Rainbow Six'!$P$11:$P$32=$B130)*'Rainbow Six'!$J$11:$J$32)),0)</f>
        <v>0</v>
      </c>
      <c r="O130" s="130" t="n">
        <f aca="false">IFERROR(SUMPRODUCT(MAX((Warzone!$M$11:$M$42=$B130)*Warzone!$G$11:$G$42)),0)</f>
        <v>0</v>
      </c>
      <c r="P130" s="130" t="n">
        <f aca="false">IFERROR(SUMPRODUCT(MAX((Valorant!$N$11:$N$26=$B130)*Valorant!$H$11:$H$26)),0)</f>
        <v>0</v>
      </c>
      <c r="Q130" s="130" t="n">
        <f aca="false">IFERROR(SUMPRODUCT(MAX(('MLBB (MSC)'!$M$11:$M$35=$B130)*'MLBB (MSC)'!$G$11:$G$35)),0)</f>
        <v>0</v>
      </c>
      <c r="R130" s="130" t="n">
        <f aca="false">IFERROR(SUMPRODUCT(MAX(('Apex Legends'!$O$11:$O$50=$B130)*'Apex Legends'!$I$11:$I$50)),0)</f>
        <v>0</v>
      </c>
      <c r="S130" s="130" t="n">
        <f aca="false">IFERROR(SUMPRODUCT(MAX(('Honor of Kings'!$N$11:$N$30=$B130)*'Honor of Kings'!$H$11:$H$30)),0)</f>
        <v>0</v>
      </c>
      <c r="T130" s="130" t="n">
        <f aca="false">IFERROR(SUMPRODUCT(MAX((CrossFire!$L$11:$L$26=$B130)*CrossFire!$F$11:$F$26)),0)</f>
        <v>0</v>
      </c>
      <c r="U130" s="130" t="n">
        <f aca="false">IFERROR(SUMPRODUCT(MAX(('Free Fire'!$M$11:$M$34=$B130)*'Free Fire'!$G$11:$G$34)),0)</f>
        <v>0</v>
      </c>
      <c r="V130" s="130" t="n">
        <f aca="false">IFERROR(SUMPRODUCT(MAX(('EA FC 26'!$N$11:$N$46=$B130)*'EA FC 26'!$H$11:$H$46)),0)</f>
        <v>0</v>
      </c>
      <c r="W130" s="130" t="n">
        <f aca="false">IFERROR(SUMPRODUCT(MAX(('Black Ops 7'!$O$11:$O$26=$B130)*'Black Ops 7'!$J$11:$J$26)),0)</f>
        <v>0</v>
      </c>
      <c r="X130" s="130" t="n">
        <f aca="false">IFERROR(SUMPRODUCT(MAX(('Rocket League'!$P$11:$P$26=$B130)*'Rocket League'!$J$11:$J$26)),0)</f>
        <v>0</v>
      </c>
      <c r="Y130" s="130" t="n">
        <f aca="false">IFERROR(SUMPRODUCT(MAX(('Overwatch 2'!$L$11:$L$26=$B130)*'Overwatch 2'!$F$11:$F$26)),0)</f>
        <v>0</v>
      </c>
      <c r="Z130" s="130" t="n">
        <f aca="false">IFERROR(SUMPRODUCT(MAX((PUBG!$L$11:$L$34=$B130)*PUBG!$F$11:$F$34)),0)</f>
        <v>0</v>
      </c>
      <c r="AA130" s="130" t="n">
        <f aca="false">IFERROR(SUMPRODUCT(MAX(('MLBB Women'!$L$11:$L$26=$B130)*'MLBB Women'!$F$11:$F$26)),0)</f>
        <v>0</v>
      </c>
      <c r="AB130" s="130" t="n">
        <f aca="false">SUM(C130:AA130)</f>
        <v>0</v>
      </c>
      <c r="AC130" s="130"/>
      <c r="AD130" s="200" t="n">
        <f aca="false">AB130-AC130</f>
        <v>0</v>
      </c>
      <c r="AE130" s="82" t="str">
        <f aca="false">IF(AB130=0,"not started",IF(AD130=0,"reconciled",IF(AD130&gt;0,"CHECK NAMES","in progress")))</f>
        <v>not started</v>
      </c>
    </row>
    <row r="131" customFormat="false" ht="15" hidden="false" customHeight="true" outlineLevel="0" collapsed="false">
      <c r="B131" s="92" t="s">
        <v>302</v>
      </c>
      <c r="C131" s="130" t="n">
        <f aca="false">IFERROR(SUMIF(CS2!$L$11:$L$42,$B131,CS2!$F$11:$F$42),0)</f>
        <v>0</v>
      </c>
      <c r="D131" s="130" t="n">
        <f aca="false">IFERROR(SUMPRODUCT(MAX((Chess!$L$11:$L$32=$B131)*Chess!$F$11:$F$32)),0)</f>
        <v>0</v>
      </c>
      <c r="E131" s="130" t="n">
        <f aca="false">IFERROR(SUMPRODUCT(MAX((LoL!$L$11:$L$26=$B131)*LoL!$F$11:$F$26)),0)</f>
        <v>0</v>
      </c>
      <c r="F131" s="130" t="n">
        <f aca="false">IFERROR(SUMPRODUCT(MAX(('PUBG Mobile'!$L$11:$L$42=$B131)*'PUBG Mobile'!$F$11:$F$42)),0)</f>
        <v>0</v>
      </c>
      <c r="G131" s="130" t="n">
        <f aca="false">IFERROR(SUMPRODUCT(MAX(('Fortnite Reload'!$L$11:$L$50=$B131)*'Fortnite Reload'!$F$11:$F$50)),0)</f>
        <v>0</v>
      </c>
      <c r="H131" s="130" t="n">
        <f aca="false">IFERROR(SUMPRODUCT(MAX((Trackmania!$M$11:$M$42=$B131)*Trackmania!$G$11:$G$42)),0)</f>
        <v>0</v>
      </c>
      <c r="I131" s="130" t="n">
        <f aca="false">IFERROR(SUMPRODUCT(MAX(('Dota 2'!$N$11:$N$34=$B131)*'Dota 2'!$H$11:$H$34)),0)</f>
        <v>0</v>
      </c>
      <c r="J131" s="130" t="n">
        <f aca="false">IFERROR(SUMPRODUCT(MAX(('Tekken 8'!$N$11:$N$42=$B131)*'Tekken 8'!$H$11:$H$42)),0)</f>
        <v>0</v>
      </c>
      <c r="K131" s="130" t="n">
        <f aca="false">IFERROR(SUMPRODUCT(MAX(('Street Fighter 6'!$O$11:$O$42=$B131)*'Street Fighter 6'!$I$11:$I$42)),0)</f>
        <v>0</v>
      </c>
      <c r="L131" s="130" t="n">
        <f aca="false">IFERROR(SUMPRODUCT(MAX(('Fatal Fury CotW'!$L$11:$L$42=$B131)*'Fatal Fury CotW'!$F$11:$F$42)),0)</f>
        <v>0</v>
      </c>
      <c r="M131" s="130" t="n">
        <f aca="false">IFERROR(SUMPRODUCT(MAX((TFT!$N$11:$N$26=$B131)*TFT!$H$11:$H$26)),0)</f>
        <v>0</v>
      </c>
      <c r="N131" s="130" t="n">
        <f aca="false">IFERROR(SUMPRODUCT(MAX(('Rainbow Six'!$P$11:$P$32=$B131)*'Rainbow Six'!$J$11:$J$32)),0)</f>
        <v>0</v>
      </c>
      <c r="O131" s="130" t="n">
        <f aca="false">IFERROR(SUMPRODUCT(MAX((Warzone!$M$11:$M$42=$B131)*Warzone!$G$11:$G$42)),0)</f>
        <v>0</v>
      </c>
      <c r="P131" s="130" t="n">
        <f aca="false">IFERROR(SUMPRODUCT(MAX((Valorant!$N$11:$N$26=$B131)*Valorant!$H$11:$H$26)),0)</f>
        <v>0</v>
      </c>
      <c r="Q131" s="130" t="n">
        <f aca="false">IFERROR(SUMPRODUCT(MAX(('MLBB (MSC)'!$M$11:$M$35=$B131)*'MLBB (MSC)'!$G$11:$G$35)),0)</f>
        <v>0</v>
      </c>
      <c r="R131" s="130" t="n">
        <f aca="false">IFERROR(SUMPRODUCT(MAX(('Apex Legends'!$O$11:$O$50=$B131)*'Apex Legends'!$I$11:$I$50)),0)</f>
        <v>0</v>
      </c>
      <c r="S131" s="130" t="n">
        <f aca="false">IFERROR(SUMPRODUCT(MAX(('Honor of Kings'!$N$11:$N$30=$B131)*'Honor of Kings'!$H$11:$H$30)),0)</f>
        <v>0</v>
      </c>
      <c r="T131" s="130" t="n">
        <f aca="false">IFERROR(SUMPRODUCT(MAX((CrossFire!$L$11:$L$26=$B131)*CrossFire!$F$11:$F$26)),0)</f>
        <v>0</v>
      </c>
      <c r="U131" s="130" t="n">
        <f aca="false">IFERROR(SUMPRODUCT(MAX(('Free Fire'!$M$11:$M$34=$B131)*'Free Fire'!$G$11:$G$34)),0)</f>
        <v>0</v>
      </c>
      <c r="V131" s="130" t="n">
        <f aca="false">IFERROR(SUMPRODUCT(MAX(('EA FC 26'!$N$11:$N$46=$B131)*'EA FC 26'!$H$11:$H$46)),0)</f>
        <v>0</v>
      </c>
      <c r="W131" s="130" t="n">
        <f aca="false">IFERROR(SUMPRODUCT(MAX(('Black Ops 7'!$O$11:$O$26=$B131)*'Black Ops 7'!$J$11:$J$26)),0)</f>
        <v>0</v>
      </c>
      <c r="X131" s="130" t="n">
        <f aca="false">IFERROR(SUMPRODUCT(MAX(('Rocket League'!$P$11:$P$26=$B131)*'Rocket League'!$J$11:$J$26)),0)</f>
        <v>0</v>
      </c>
      <c r="Y131" s="130" t="n">
        <f aca="false">IFERROR(SUMPRODUCT(MAX(('Overwatch 2'!$L$11:$L$26=$B131)*'Overwatch 2'!$F$11:$F$26)),0)</f>
        <v>0</v>
      </c>
      <c r="Z131" s="130" t="n">
        <f aca="false">IFERROR(SUMPRODUCT(MAX((PUBG!$L$11:$L$34=$B131)*PUBG!$F$11:$F$34)),0)</f>
        <v>0</v>
      </c>
      <c r="AA131" s="130" t="n">
        <f aca="false">IFERROR(SUMPRODUCT(MAX(('MLBB Women'!$L$11:$L$26=$B131)*'MLBB Women'!$F$11:$F$26)),0)</f>
        <v>0</v>
      </c>
      <c r="AB131" s="130" t="n">
        <f aca="false">SUM(C131:AA131)</f>
        <v>0</v>
      </c>
      <c r="AC131" s="130"/>
      <c r="AD131" s="200" t="n">
        <f aca="false">AB131-AC131</f>
        <v>0</v>
      </c>
      <c r="AE131" s="82" t="str">
        <f aca="false">IF(AB131=0,"not started",IF(AD131=0,"reconciled",IF(AD131&gt;0,"CHECK NAMES","in progress")))</f>
        <v>not started</v>
      </c>
    </row>
    <row r="132" customFormat="false" ht="15" hidden="false" customHeight="true" outlineLevel="0" collapsed="false">
      <c r="B132" s="92" t="s">
        <v>392</v>
      </c>
      <c r="C132" s="130" t="n">
        <f aca="false">IFERROR(SUMIF(CS2!$L$11:$L$42,$B132,CS2!$F$11:$F$42),0)</f>
        <v>0</v>
      </c>
      <c r="D132" s="130" t="n">
        <f aca="false">IFERROR(SUMPRODUCT(MAX((Chess!$L$11:$L$32=$B132)*Chess!$F$11:$F$32)),0)</f>
        <v>0</v>
      </c>
      <c r="E132" s="130" t="n">
        <f aca="false">IFERROR(SUMPRODUCT(MAX((LoL!$L$11:$L$26=$B132)*LoL!$F$11:$F$26)),0)</f>
        <v>0</v>
      </c>
      <c r="F132" s="130" t="n">
        <f aca="false">IFERROR(SUMPRODUCT(MAX(('PUBG Mobile'!$L$11:$L$42=$B132)*'PUBG Mobile'!$F$11:$F$42)),0)</f>
        <v>0</v>
      </c>
      <c r="G132" s="130" t="n">
        <f aca="false">IFERROR(SUMPRODUCT(MAX(('Fortnite Reload'!$L$11:$L$50=$B132)*'Fortnite Reload'!$F$11:$F$50)),0)</f>
        <v>0</v>
      </c>
      <c r="H132" s="130" t="n">
        <f aca="false">IFERROR(SUMPRODUCT(MAX((Trackmania!$M$11:$M$42=$B132)*Trackmania!$G$11:$G$42)),0)</f>
        <v>0</v>
      </c>
      <c r="I132" s="130" t="n">
        <f aca="false">IFERROR(SUMPRODUCT(MAX(('Dota 2'!$N$11:$N$34=$B132)*'Dota 2'!$H$11:$H$34)),0)</f>
        <v>0</v>
      </c>
      <c r="J132" s="130" t="n">
        <f aca="false">IFERROR(SUMPRODUCT(MAX(('Tekken 8'!$N$11:$N$42=$B132)*'Tekken 8'!$H$11:$H$42)),0)</f>
        <v>0</v>
      </c>
      <c r="K132" s="130" t="n">
        <f aca="false">IFERROR(SUMPRODUCT(MAX(('Street Fighter 6'!$O$11:$O$42=$B132)*'Street Fighter 6'!$I$11:$I$42)),0)</f>
        <v>0</v>
      </c>
      <c r="L132" s="130" t="n">
        <f aca="false">IFERROR(SUMPRODUCT(MAX(('Fatal Fury CotW'!$L$11:$L$42=$B132)*'Fatal Fury CotW'!$F$11:$F$42)),0)</f>
        <v>0</v>
      </c>
      <c r="M132" s="130" t="n">
        <f aca="false">IFERROR(SUMPRODUCT(MAX((TFT!$N$11:$N$26=$B132)*TFT!$H$11:$H$26)),0)</f>
        <v>0</v>
      </c>
      <c r="N132" s="130" t="n">
        <f aca="false">IFERROR(SUMPRODUCT(MAX(('Rainbow Six'!$P$11:$P$32=$B132)*'Rainbow Six'!$J$11:$J$32)),0)</f>
        <v>0</v>
      </c>
      <c r="O132" s="130" t="n">
        <f aca="false">IFERROR(SUMPRODUCT(MAX((Warzone!$M$11:$M$42=$B132)*Warzone!$G$11:$G$42)),0)</f>
        <v>0</v>
      </c>
      <c r="P132" s="130" t="n">
        <f aca="false">IFERROR(SUMPRODUCT(MAX((Valorant!$N$11:$N$26=$B132)*Valorant!$H$11:$H$26)),0)</f>
        <v>0</v>
      </c>
      <c r="Q132" s="130" t="n">
        <f aca="false">IFERROR(SUMPRODUCT(MAX(('MLBB (MSC)'!$M$11:$M$35=$B132)*'MLBB (MSC)'!$G$11:$G$35)),0)</f>
        <v>0</v>
      </c>
      <c r="R132" s="130" t="n">
        <f aca="false">IFERROR(SUMPRODUCT(MAX(('Apex Legends'!$O$11:$O$50=$B132)*'Apex Legends'!$I$11:$I$50)),0)</f>
        <v>0</v>
      </c>
      <c r="S132" s="130" t="n">
        <f aca="false">IFERROR(SUMPRODUCT(MAX(('Honor of Kings'!$N$11:$N$30=$B132)*'Honor of Kings'!$H$11:$H$30)),0)</f>
        <v>0</v>
      </c>
      <c r="T132" s="130" t="n">
        <f aca="false">IFERROR(SUMPRODUCT(MAX((CrossFire!$L$11:$L$26=$B132)*CrossFire!$F$11:$F$26)),0)</f>
        <v>0</v>
      </c>
      <c r="U132" s="130" t="n">
        <f aca="false">IFERROR(SUMPRODUCT(MAX(('Free Fire'!$M$11:$M$34=$B132)*'Free Fire'!$G$11:$G$34)),0)</f>
        <v>0</v>
      </c>
      <c r="V132" s="130" t="n">
        <f aca="false">IFERROR(SUMPRODUCT(MAX(('EA FC 26'!$N$11:$N$46=$B132)*'EA FC 26'!$H$11:$H$46)),0)</f>
        <v>0</v>
      </c>
      <c r="W132" s="130" t="n">
        <f aca="false">IFERROR(SUMPRODUCT(MAX(('Black Ops 7'!$O$11:$O$26=$B132)*'Black Ops 7'!$J$11:$J$26)),0)</f>
        <v>0</v>
      </c>
      <c r="X132" s="130" t="n">
        <f aca="false">IFERROR(SUMPRODUCT(MAX(('Rocket League'!$P$11:$P$26=$B132)*'Rocket League'!$J$11:$J$26)),0)</f>
        <v>0</v>
      </c>
      <c r="Y132" s="130" t="n">
        <f aca="false">IFERROR(SUMPRODUCT(MAX(('Overwatch 2'!$L$11:$L$26=$B132)*'Overwatch 2'!$F$11:$F$26)),0)</f>
        <v>0</v>
      </c>
      <c r="Z132" s="130" t="n">
        <f aca="false">IFERROR(SUMPRODUCT(MAX((PUBG!$L$11:$L$34=$B132)*PUBG!$F$11:$F$34)),0)</f>
        <v>0</v>
      </c>
      <c r="AA132" s="130" t="n">
        <f aca="false">IFERROR(SUMPRODUCT(MAX(('MLBB Women'!$L$11:$L$26=$B132)*'MLBB Women'!$F$11:$F$26)),0)</f>
        <v>0</v>
      </c>
      <c r="AB132" s="130" t="n">
        <f aca="false">SUM(C132:AA132)</f>
        <v>0</v>
      </c>
      <c r="AC132" s="130"/>
      <c r="AD132" s="200" t="n">
        <f aca="false">AB132-AC132</f>
        <v>0</v>
      </c>
      <c r="AE132" s="82" t="str">
        <f aca="false">IF(AB132=0,"not started",IF(AD132=0,"reconciled",IF(AD132&gt;0,"CHECK NAMES","in progress")))</f>
        <v>not started</v>
      </c>
    </row>
    <row r="133" customFormat="false" ht="15" hidden="false" customHeight="true" outlineLevel="0" collapsed="false">
      <c r="B133" s="92" t="s">
        <v>334</v>
      </c>
      <c r="C133" s="130" t="n">
        <f aca="false">IFERROR(SUMIF(CS2!$L$11:$L$42,$B133,CS2!$F$11:$F$42),0)</f>
        <v>0</v>
      </c>
      <c r="D133" s="130" t="n">
        <f aca="false">IFERROR(SUMPRODUCT(MAX((Chess!$L$11:$L$32=$B133)*Chess!$F$11:$F$32)),0)</f>
        <v>0</v>
      </c>
      <c r="E133" s="130" t="n">
        <f aca="false">IFERROR(SUMPRODUCT(MAX((LoL!$L$11:$L$26=$B133)*LoL!$F$11:$F$26)),0)</f>
        <v>0</v>
      </c>
      <c r="F133" s="130" t="n">
        <f aca="false">IFERROR(SUMPRODUCT(MAX(('PUBG Mobile'!$L$11:$L$42=$B133)*'PUBG Mobile'!$F$11:$F$42)),0)</f>
        <v>0</v>
      </c>
      <c r="G133" s="130" t="n">
        <f aca="false">IFERROR(SUMPRODUCT(MAX(('Fortnite Reload'!$L$11:$L$50=$B133)*'Fortnite Reload'!$F$11:$F$50)),0)</f>
        <v>0</v>
      </c>
      <c r="H133" s="130" t="n">
        <f aca="false">IFERROR(SUMPRODUCT(MAX((Trackmania!$M$11:$M$42=$B133)*Trackmania!$G$11:$G$42)),0)</f>
        <v>0</v>
      </c>
      <c r="I133" s="130" t="n">
        <f aca="false">IFERROR(SUMPRODUCT(MAX(('Dota 2'!$N$11:$N$34=$B133)*'Dota 2'!$H$11:$H$34)),0)</f>
        <v>0</v>
      </c>
      <c r="J133" s="130" t="n">
        <f aca="false">IFERROR(SUMPRODUCT(MAX(('Tekken 8'!$N$11:$N$42=$B133)*'Tekken 8'!$H$11:$H$42)),0)</f>
        <v>0</v>
      </c>
      <c r="K133" s="130" t="n">
        <f aca="false">IFERROR(SUMPRODUCT(MAX(('Street Fighter 6'!$O$11:$O$42=$B133)*'Street Fighter 6'!$I$11:$I$42)),0)</f>
        <v>0</v>
      </c>
      <c r="L133" s="130" t="n">
        <f aca="false">IFERROR(SUMPRODUCT(MAX(('Fatal Fury CotW'!$L$11:$L$42=$B133)*'Fatal Fury CotW'!$F$11:$F$42)),0)</f>
        <v>0</v>
      </c>
      <c r="M133" s="130" t="n">
        <f aca="false">IFERROR(SUMPRODUCT(MAX((TFT!$N$11:$N$26=$B133)*TFT!$H$11:$H$26)),0)</f>
        <v>0</v>
      </c>
      <c r="N133" s="130" t="n">
        <f aca="false">IFERROR(SUMPRODUCT(MAX(('Rainbow Six'!$P$11:$P$32=$B133)*'Rainbow Six'!$J$11:$J$32)),0)</f>
        <v>0</v>
      </c>
      <c r="O133" s="130" t="n">
        <f aca="false">IFERROR(SUMPRODUCT(MAX((Warzone!$M$11:$M$42=$B133)*Warzone!$G$11:$G$42)),0)</f>
        <v>0</v>
      </c>
      <c r="P133" s="130" t="n">
        <f aca="false">IFERROR(SUMPRODUCT(MAX((Valorant!$N$11:$N$26=$B133)*Valorant!$H$11:$H$26)),0)</f>
        <v>0</v>
      </c>
      <c r="Q133" s="130" t="n">
        <f aca="false">IFERROR(SUMPRODUCT(MAX(('MLBB (MSC)'!$M$11:$M$35=$B133)*'MLBB (MSC)'!$G$11:$G$35)),0)</f>
        <v>0</v>
      </c>
      <c r="R133" s="130" t="n">
        <f aca="false">IFERROR(SUMPRODUCT(MAX(('Apex Legends'!$O$11:$O$50=$B133)*'Apex Legends'!$I$11:$I$50)),0)</f>
        <v>0</v>
      </c>
      <c r="S133" s="130" t="n">
        <f aca="false">IFERROR(SUMPRODUCT(MAX(('Honor of Kings'!$N$11:$N$30=$B133)*'Honor of Kings'!$H$11:$H$30)),0)</f>
        <v>0</v>
      </c>
      <c r="T133" s="130" t="n">
        <f aca="false">IFERROR(SUMPRODUCT(MAX((CrossFire!$L$11:$L$26=$B133)*CrossFire!$F$11:$F$26)),0)</f>
        <v>0</v>
      </c>
      <c r="U133" s="130" t="n">
        <f aca="false">IFERROR(SUMPRODUCT(MAX(('Free Fire'!$M$11:$M$34=$B133)*'Free Fire'!$G$11:$G$34)),0)</f>
        <v>0</v>
      </c>
      <c r="V133" s="130" t="n">
        <f aca="false">IFERROR(SUMPRODUCT(MAX(('EA FC 26'!$N$11:$N$46=$B133)*'EA FC 26'!$H$11:$H$46)),0)</f>
        <v>0</v>
      </c>
      <c r="W133" s="130" t="n">
        <f aca="false">IFERROR(SUMPRODUCT(MAX(('Black Ops 7'!$O$11:$O$26=$B133)*'Black Ops 7'!$J$11:$J$26)),0)</f>
        <v>0</v>
      </c>
      <c r="X133" s="130" t="n">
        <f aca="false">IFERROR(SUMPRODUCT(MAX(('Rocket League'!$P$11:$P$26=$B133)*'Rocket League'!$J$11:$J$26)),0)</f>
        <v>0</v>
      </c>
      <c r="Y133" s="130" t="n">
        <f aca="false">IFERROR(SUMPRODUCT(MAX(('Overwatch 2'!$L$11:$L$26=$B133)*'Overwatch 2'!$F$11:$F$26)),0)</f>
        <v>0</v>
      </c>
      <c r="Z133" s="130" t="n">
        <f aca="false">IFERROR(SUMPRODUCT(MAX((PUBG!$L$11:$L$34=$B133)*PUBG!$F$11:$F$34)),0)</f>
        <v>0</v>
      </c>
      <c r="AA133" s="130" t="n">
        <f aca="false">IFERROR(SUMPRODUCT(MAX(('MLBB Women'!$L$11:$L$26=$B133)*'MLBB Women'!$F$11:$F$26)),0)</f>
        <v>0</v>
      </c>
      <c r="AB133" s="130" t="n">
        <f aca="false">SUM(C133:AA133)</f>
        <v>0</v>
      </c>
      <c r="AC133" s="130"/>
      <c r="AD133" s="200" t="n">
        <f aca="false">AB133-AC133</f>
        <v>0</v>
      </c>
      <c r="AE133" s="82" t="str">
        <f aca="false">IF(AB133=0,"not started",IF(AD133=0,"reconciled",IF(AD133&gt;0,"CHECK NAMES","in progress")))</f>
        <v>not started</v>
      </c>
    </row>
    <row r="134" customFormat="false" ht="15" hidden="false" customHeight="true" outlineLevel="0" collapsed="false">
      <c r="B134" s="92" t="s">
        <v>394</v>
      </c>
      <c r="C134" s="130" t="n">
        <f aca="false">IFERROR(SUMIF(CS2!$L$11:$L$42,$B134,CS2!$F$11:$F$42),0)</f>
        <v>0</v>
      </c>
      <c r="D134" s="130" t="n">
        <f aca="false">IFERROR(SUMPRODUCT(MAX((Chess!$L$11:$L$32=$B134)*Chess!$F$11:$F$32)),0)</f>
        <v>0</v>
      </c>
      <c r="E134" s="130" t="n">
        <f aca="false">IFERROR(SUMPRODUCT(MAX((LoL!$L$11:$L$26=$B134)*LoL!$F$11:$F$26)),0)</f>
        <v>0</v>
      </c>
      <c r="F134" s="130" t="n">
        <f aca="false">IFERROR(SUMPRODUCT(MAX(('PUBG Mobile'!$L$11:$L$42=$B134)*'PUBG Mobile'!$F$11:$F$42)),0)</f>
        <v>0</v>
      </c>
      <c r="G134" s="130" t="n">
        <f aca="false">IFERROR(SUMPRODUCT(MAX(('Fortnite Reload'!$L$11:$L$50=$B134)*'Fortnite Reload'!$F$11:$F$50)),0)</f>
        <v>0</v>
      </c>
      <c r="H134" s="130" t="n">
        <f aca="false">IFERROR(SUMPRODUCT(MAX((Trackmania!$M$11:$M$42=$B134)*Trackmania!$G$11:$G$42)),0)</f>
        <v>0</v>
      </c>
      <c r="I134" s="130" t="n">
        <f aca="false">IFERROR(SUMPRODUCT(MAX(('Dota 2'!$N$11:$N$34=$B134)*'Dota 2'!$H$11:$H$34)),0)</f>
        <v>0</v>
      </c>
      <c r="J134" s="130" t="n">
        <f aca="false">IFERROR(SUMPRODUCT(MAX(('Tekken 8'!$N$11:$N$42=$B134)*'Tekken 8'!$H$11:$H$42)),0)</f>
        <v>0</v>
      </c>
      <c r="K134" s="130" t="n">
        <f aca="false">IFERROR(SUMPRODUCT(MAX(('Street Fighter 6'!$O$11:$O$42=$B134)*'Street Fighter 6'!$I$11:$I$42)),0)</f>
        <v>0</v>
      </c>
      <c r="L134" s="130" t="n">
        <f aca="false">IFERROR(SUMPRODUCT(MAX(('Fatal Fury CotW'!$L$11:$L$42=$B134)*'Fatal Fury CotW'!$F$11:$F$42)),0)</f>
        <v>0</v>
      </c>
      <c r="M134" s="130" t="n">
        <f aca="false">IFERROR(SUMPRODUCT(MAX((TFT!$N$11:$N$26=$B134)*TFT!$H$11:$H$26)),0)</f>
        <v>0</v>
      </c>
      <c r="N134" s="130" t="n">
        <f aca="false">IFERROR(SUMPRODUCT(MAX(('Rainbow Six'!$P$11:$P$32=$B134)*'Rainbow Six'!$J$11:$J$32)),0)</f>
        <v>0</v>
      </c>
      <c r="O134" s="130" t="n">
        <f aca="false">IFERROR(SUMPRODUCT(MAX((Warzone!$M$11:$M$42=$B134)*Warzone!$G$11:$G$42)),0)</f>
        <v>0</v>
      </c>
      <c r="P134" s="130" t="n">
        <f aca="false">IFERROR(SUMPRODUCT(MAX((Valorant!$N$11:$N$26=$B134)*Valorant!$H$11:$H$26)),0)</f>
        <v>0</v>
      </c>
      <c r="Q134" s="130" t="n">
        <f aca="false">IFERROR(SUMPRODUCT(MAX(('MLBB (MSC)'!$M$11:$M$35=$B134)*'MLBB (MSC)'!$G$11:$G$35)),0)</f>
        <v>0</v>
      </c>
      <c r="R134" s="130" t="n">
        <f aca="false">IFERROR(SUMPRODUCT(MAX(('Apex Legends'!$O$11:$O$50=$B134)*'Apex Legends'!$I$11:$I$50)),0)</f>
        <v>0</v>
      </c>
      <c r="S134" s="130" t="n">
        <f aca="false">IFERROR(SUMPRODUCT(MAX(('Honor of Kings'!$N$11:$N$30=$B134)*'Honor of Kings'!$H$11:$H$30)),0)</f>
        <v>0</v>
      </c>
      <c r="T134" s="130" t="n">
        <f aca="false">IFERROR(SUMPRODUCT(MAX((CrossFire!$L$11:$L$26=$B134)*CrossFire!$F$11:$F$26)),0)</f>
        <v>0</v>
      </c>
      <c r="U134" s="130" t="n">
        <f aca="false">IFERROR(SUMPRODUCT(MAX(('Free Fire'!$M$11:$M$34=$B134)*'Free Fire'!$G$11:$G$34)),0)</f>
        <v>0</v>
      </c>
      <c r="V134" s="130" t="n">
        <f aca="false">IFERROR(SUMPRODUCT(MAX(('EA FC 26'!$N$11:$N$46=$B134)*'EA FC 26'!$H$11:$H$46)),0)</f>
        <v>0</v>
      </c>
      <c r="W134" s="130" t="n">
        <f aca="false">IFERROR(SUMPRODUCT(MAX(('Black Ops 7'!$O$11:$O$26=$B134)*'Black Ops 7'!$J$11:$J$26)),0)</f>
        <v>0</v>
      </c>
      <c r="X134" s="130" t="n">
        <f aca="false">IFERROR(SUMPRODUCT(MAX(('Rocket League'!$P$11:$P$26=$B134)*'Rocket League'!$J$11:$J$26)),0)</f>
        <v>0</v>
      </c>
      <c r="Y134" s="130" t="n">
        <f aca="false">IFERROR(SUMPRODUCT(MAX(('Overwatch 2'!$L$11:$L$26=$B134)*'Overwatch 2'!$F$11:$F$26)),0)</f>
        <v>0</v>
      </c>
      <c r="Z134" s="130" t="n">
        <f aca="false">IFERROR(SUMPRODUCT(MAX((PUBG!$L$11:$L$34=$B134)*PUBG!$F$11:$F$34)),0)</f>
        <v>0</v>
      </c>
      <c r="AA134" s="130" t="n">
        <f aca="false">IFERROR(SUMPRODUCT(MAX(('MLBB Women'!$L$11:$L$26=$B134)*'MLBB Women'!$F$11:$F$26)),0)</f>
        <v>0</v>
      </c>
      <c r="AB134" s="130" t="n">
        <f aca="false">SUM(C134:AA134)</f>
        <v>0</v>
      </c>
      <c r="AC134" s="130"/>
      <c r="AD134" s="200" t="n">
        <f aca="false">AB134-AC134</f>
        <v>0</v>
      </c>
      <c r="AE134" s="82" t="str">
        <f aca="false">IF(AB134=0,"not started",IF(AD134=0,"reconciled",IF(AD134&gt;0,"CHECK NAMES","in progress")))</f>
        <v>not started</v>
      </c>
    </row>
    <row r="135" customFormat="false" ht="15" hidden="false" customHeight="true" outlineLevel="0" collapsed="false">
      <c r="B135" s="92" t="s">
        <v>300</v>
      </c>
      <c r="C135" s="130" t="n">
        <f aca="false">IFERROR(SUMIF(CS2!$L$11:$L$42,$B135,CS2!$F$11:$F$42),0)</f>
        <v>0</v>
      </c>
      <c r="D135" s="130" t="n">
        <f aca="false">IFERROR(SUMPRODUCT(MAX((Chess!$L$11:$L$32=$B135)*Chess!$F$11:$F$32)),0)</f>
        <v>0</v>
      </c>
      <c r="E135" s="130" t="n">
        <f aca="false">IFERROR(SUMPRODUCT(MAX((LoL!$L$11:$L$26=$B135)*LoL!$F$11:$F$26)),0)</f>
        <v>0</v>
      </c>
      <c r="F135" s="130" t="n">
        <f aca="false">IFERROR(SUMPRODUCT(MAX(('PUBG Mobile'!$L$11:$L$42=$B135)*'PUBG Mobile'!$F$11:$F$42)),0)</f>
        <v>0</v>
      </c>
      <c r="G135" s="130" t="n">
        <f aca="false">IFERROR(SUMPRODUCT(MAX(('Fortnite Reload'!$L$11:$L$50=$B135)*'Fortnite Reload'!$F$11:$F$50)),0)</f>
        <v>0</v>
      </c>
      <c r="H135" s="130" t="n">
        <f aca="false">IFERROR(SUMPRODUCT(MAX((Trackmania!$M$11:$M$42=$B135)*Trackmania!$G$11:$G$42)),0)</f>
        <v>0</v>
      </c>
      <c r="I135" s="130" t="n">
        <f aca="false">IFERROR(SUMPRODUCT(MAX(('Dota 2'!$N$11:$N$34=$B135)*'Dota 2'!$H$11:$H$34)),0)</f>
        <v>0</v>
      </c>
      <c r="J135" s="130" t="n">
        <f aca="false">IFERROR(SUMPRODUCT(MAX(('Tekken 8'!$N$11:$N$42=$B135)*'Tekken 8'!$H$11:$H$42)),0)</f>
        <v>0</v>
      </c>
      <c r="K135" s="130" t="n">
        <f aca="false">IFERROR(SUMPRODUCT(MAX(('Street Fighter 6'!$O$11:$O$42=$B135)*'Street Fighter 6'!$I$11:$I$42)),0)</f>
        <v>0</v>
      </c>
      <c r="L135" s="130" t="n">
        <f aca="false">IFERROR(SUMPRODUCT(MAX(('Fatal Fury CotW'!$L$11:$L$42=$B135)*'Fatal Fury CotW'!$F$11:$F$42)),0)</f>
        <v>0</v>
      </c>
      <c r="M135" s="130" t="n">
        <f aca="false">IFERROR(SUMPRODUCT(MAX((TFT!$N$11:$N$26=$B135)*TFT!$H$11:$H$26)),0)</f>
        <v>0</v>
      </c>
      <c r="N135" s="130" t="n">
        <f aca="false">IFERROR(SUMPRODUCT(MAX(('Rainbow Six'!$P$11:$P$32=$B135)*'Rainbow Six'!$J$11:$J$32)),0)</f>
        <v>0</v>
      </c>
      <c r="O135" s="130" t="n">
        <f aca="false">IFERROR(SUMPRODUCT(MAX((Warzone!$M$11:$M$42=$B135)*Warzone!$G$11:$G$42)),0)</f>
        <v>0</v>
      </c>
      <c r="P135" s="130" t="n">
        <f aca="false">IFERROR(SUMPRODUCT(MAX((Valorant!$N$11:$N$26=$B135)*Valorant!$H$11:$H$26)),0)</f>
        <v>0</v>
      </c>
      <c r="Q135" s="130" t="n">
        <f aca="false">IFERROR(SUMPRODUCT(MAX(('MLBB (MSC)'!$M$11:$M$35=$B135)*'MLBB (MSC)'!$G$11:$G$35)),0)</f>
        <v>0</v>
      </c>
      <c r="R135" s="130" t="n">
        <f aca="false">IFERROR(SUMPRODUCT(MAX(('Apex Legends'!$O$11:$O$50=$B135)*'Apex Legends'!$I$11:$I$50)),0)</f>
        <v>0</v>
      </c>
      <c r="S135" s="130" t="n">
        <f aca="false">IFERROR(SUMPRODUCT(MAX(('Honor of Kings'!$N$11:$N$30=$B135)*'Honor of Kings'!$H$11:$H$30)),0)</f>
        <v>0</v>
      </c>
      <c r="T135" s="130" t="n">
        <f aca="false">IFERROR(SUMPRODUCT(MAX((CrossFire!$L$11:$L$26=$B135)*CrossFire!$F$11:$F$26)),0)</f>
        <v>0</v>
      </c>
      <c r="U135" s="130" t="n">
        <f aca="false">IFERROR(SUMPRODUCT(MAX(('Free Fire'!$M$11:$M$34=$B135)*'Free Fire'!$G$11:$G$34)),0)</f>
        <v>0</v>
      </c>
      <c r="V135" s="130" t="n">
        <f aca="false">IFERROR(SUMPRODUCT(MAX(('EA FC 26'!$N$11:$N$46=$B135)*'EA FC 26'!$H$11:$H$46)),0)</f>
        <v>0</v>
      </c>
      <c r="W135" s="130" t="n">
        <f aca="false">IFERROR(SUMPRODUCT(MAX(('Black Ops 7'!$O$11:$O$26=$B135)*'Black Ops 7'!$J$11:$J$26)),0)</f>
        <v>0</v>
      </c>
      <c r="X135" s="130" t="n">
        <f aca="false">IFERROR(SUMPRODUCT(MAX(('Rocket League'!$P$11:$P$26=$B135)*'Rocket League'!$J$11:$J$26)),0)</f>
        <v>0</v>
      </c>
      <c r="Y135" s="130" t="n">
        <f aca="false">IFERROR(SUMPRODUCT(MAX(('Overwatch 2'!$L$11:$L$26=$B135)*'Overwatch 2'!$F$11:$F$26)),0)</f>
        <v>0</v>
      </c>
      <c r="Z135" s="130" t="n">
        <f aca="false">IFERROR(SUMPRODUCT(MAX((PUBG!$L$11:$L$34=$B135)*PUBG!$F$11:$F$34)),0)</f>
        <v>0</v>
      </c>
      <c r="AA135" s="130" t="n">
        <f aca="false">IFERROR(SUMPRODUCT(MAX(('MLBB Women'!$L$11:$L$26=$B135)*'MLBB Women'!$F$11:$F$26)),0)</f>
        <v>0</v>
      </c>
      <c r="AB135" s="130" t="n">
        <f aca="false">SUM(C135:AA135)</f>
        <v>0</v>
      </c>
      <c r="AC135" s="130"/>
      <c r="AD135" s="200" t="n">
        <f aca="false">AB135-AC135</f>
        <v>0</v>
      </c>
      <c r="AE135" s="82" t="str">
        <f aca="false">IF(AB135=0,"not started",IF(AD135=0,"reconciled",IF(AD135&gt;0,"CHECK NAMES","in progress")))</f>
        <v>not started</v>
      </c>
    </row>
    <row r="136" customFormat="false" ht="15" hidden="false" customHeight="true" outlineLevel="0" collapsed="false">
      <c r="B136" s="92" t="s">
        <v>396</v>
      </c>
      <c r="C136" s="130" t="n">
        <f aca="false">IFERROR(SUMIF(CS2!$L$11:$L$42,$B136,CS2!$F$11:$F$42),0)</f>
        <v>0</v>
      </c>
      <c r="D136" s="130" t="n">
        <f aca="false">IFERROR(SUMPRODUCT(MAX((Chess!$L$11:$L$32=$B136)*Chess!$F$11:$F$32)),0)</f>
        <v>0</v>
      </c>
      <c r="E136" s="130" t="n">
        <f aca="false">IFERROR(SUMPRODUCT(MAX((LoL!$L$11:$L$26=$B136)*LoL!$F$11:$F$26)),0)</f>
        <v>0</v>
      </c>
      <c r="F136" s="130" t="n">
        <f aca="false">IFERROR(SUMPRODUCT(MAX(('PUBG Mobile'!$L$11:$L$42=$B136)*'PUBG Mobile'!$F$11:$F$42)),0)</f>
        <v>0</v>
      </c>
      <c r="G136" s="130" t="n">
        <f aca="false">IFERROR(SUMPRODUCT(MAX(('Fortnite Reload'!$L$11:$L$50=$B136)*'Fortnite Reload'!$F$11:$F$50)),0)</f>
        <v>0</v>
      </c>
      <c r="H136" s="130" t="n">
        <f aca="false">IFERROR(SUMPRODUCT(MAX((Trackmania!$M$11:$M$42=$B136)*Trackmania!$G$11:$G$42)),0)</f>
        <v>0</v>
      </c>
      <c r="I136" s="130" t="n">
        <f aca="false">IFERROR(SUMPRODUCT(MAX(('Dota 2'!$N$11:$N$34=$B136)*'Dota 2'!$H$11:$H$34)),0)</f>
        <v>0</v>
      </c>
      <c r="J136" s="130" t="n">
        <f aca="false">IFERROR(SUMPRODUCT(MAX(('Tekken 8'!$N$11:$N$42=$B136)*'Tekken 8'!$H$11:$H$42)),0)</f>
        <v>0</v>
      </c>
      <c r="K136" s="130" t="n">
        <f aca="false">IFERROR(SUMPRODUCT(MAX(('Street Fighter 6'!$O$11:$O$42=$B136)*'Street Fighter 6'!$I$11:$I$42)),0)</f>
        <v>0</v>
      </c>
      <c r="L136" s="130" t="n">
        <f aca="false">IFERROR(SUMPRODUCT(MAX(('Fatal Fury CotW'!$L$11:$L$42=$B136)*'Fatal Fury CotW'!$F$11:$F$42)),0)</f>
        <v>0</v>
      </c>
      <c r="M136" s="130" t="n">
        <f aca="false">IFERROR(SUMPRODUCT(MAX((TFT!$N$11:$N$26=$B136)*TFT!$H$11:$H$26)),0)</f>
        <v>0</v>
      </c>
      <c r="N136" s="130" t="n">
        <f aca="false">IFERROR(SUMPRODUCT(MAX(('Rainbow Six'!$P$11:$P$32=$B136)*'Rainbow Six'!$J$11:$J$32)),0)</f>
        <v>0</v>
      </c>
      <c r="O136" s="130" t="n">
        <f aca="false">IFERROR(SUMPRODUCT(MAX((Warzone!$M$11:$M$42=$B136)*Warzone!$G$11:$G$42)),0)</f>
        <v>0</v>
      </c>
      <c r="P136" s="130" t="n">
        <f aca="false">IFERROR(SUMPRODUCT(MAX((Valorant!$N$11:$N$26=$B136)*Valorant!$H$11:$H$26)),0)</f>
        <v>0</v>
      </c>
      <c r="Q136" s="130" t="n">
        <f aca="false">IFERROR(SUMPRODUCT(MAX(('MLBB (MSC)'!$M$11:$M$35=$B136)*'MLBB (MSC)'!$G$11:$G$35)),0)</f>
        <v>0</v>
      </c>
      <c r="R136" s="130" t="n">
        <f aca="false">IFERROR(SUMPRODUCT(MAX(('Apex Legends'!$O$11:$O$50=$B136)*'Apex Legends'!$I$11:$I$50)),0)</f>
        <v>0</v>
      </c>
      <c r="S136" s="130" t="n">
        <f aca="false">IFERROR(SUMPRODUCT(MAX(('Honor of Kings'!$N$11:$N$30=$B136)*'Honor of Kings'!$H$11:$H$30)),0)</f>
        <v>0</v>
      </c>
      <c r="T136" s="130" t="n">
        <f aca="false">IFERROR(SUMPRODUCT(MAX((CrossFire!$L$11:$L$26=$B136)*CrossFire!$F$11:$F$26)),0)</f>
        <v>0</v>
      </c>
      <c r="U136" s="130" t="n">
        <f aca="false">IFERROR(SUMPRODUCT(MAX(('Free Fire'!$M$11:$M$34=$B136)*'Free Fire'!$G$11:$G$34)),0)</f>
        <v>0</v>
      </c>
      <c r="V136" s="130" t="n">
        <f aca="false">IFERROR(SUMPRODUCT(MAX(('EA FC 26'!$N$11:$N$46=$B136)*'EA FC 26'!$H$11:$H$46)),0)</f>
        <v>0</v>
      </c>
      <c r="W136" s="130" t="n">
        <f aca="false">IFERROR(SUMPRODUCT(MAX(('Black Ops 7'!$O$11:$O$26=$B136)*'Black Ops 7'!$J$11:$J$26)),0)</f>
        <v>0</v>
      </c>
      <c r="X136" s="130" t="n">
        <f aca="false">IFERROR(SUMPRODUCT(MAX(('Rocket League'!$P$11:$P$26=$B136)*'Rocket League'!$J$11:$J$26)),0)</f>
        <v>0</v>
      </c>
      <c r="Y136" s="130" t="n">
        <f aca="false">IFERROR(SUMPRODUCT(MAX(('Overwatch 2'!$L$11:$L$26=$B136)*'Overwatch 2'!$F$11:$F$26)),0)</f>
        <v>0</v>
      </c>
      <c r="Z136" s="130" t="n">
        <f aca="false">IFERROR(SUMPRODUCT(MAX((PUBG!$L$11:$L$34=$B136)*PUBG!$F$11:$F$34)),0)</f>
        <v>0</v>
      </c>
      <c r="AA136" s="130" t="n">
        <f aca="false">IFERROR(SUMPRODUCT(MAX(('MLBB Women'!$L$11:$L$26=$B136)*'MLBB Women'!$F$11:$F$26)),0)</f>
        <v>0</v>
      </c>
      <c r="AB136" s="130" t="n">
        <f aca="false">SUM(C136:AA136)</f>
        <v>0</v>
      </c>
      <c r="AC136" s="130"/>
      <c r="AD136" s="200" t="n">
        <f aca="false">AB136-AC136</f>
        <v>0</v>
      </c>
      <c r="AE136" s="82" t="str">
        <f aca="false">IF(AB136=0,"not started",IF(AD136=0,"reconciled",IF(AD136&gt;0,"CHECK NAMES","in progress")))</f>
        <v>not started</v>
      </c>
    </row>
    <row r="137" customFormat="false" ht="15" hidden="false" customHeight="true" outlineLevel="0" collapsed="false">
      <c r="B137" s="92" t="s">
        <v>267</v>
      </c>
      <c r="C137" s="130" t="n">
        <f aca="false">IFERROR(SUMIF(CS2!$L$11:$L$42,$B137,CS2!$F$11:$F$42),0)</f>
        <v>0</v>
      </c>
      <c r="D137" s="130" t="n">
        <f aca="false">IFERROR(SUMPRODUCT(MAX((Chess!$L$11:$L$32=$B137)*Chess!$F$11:$F$32)),0)</f>
        <v>0</v>
      </c>
      <c r="E137" s="130" t="n">
        <f aca="false">IFERROR(SUMPRODUCT(MAX((LoL!$L$11:$L$26=$B137)*LoL!$F$11:$F$26)),0)</f>
        <v>0</v>
      </c>
      <c r="F137" s="130" t="n">
        <f aca="false">IFERROR(SUMPRODUCT(MAX(('PUBG Mobile'!$L$11:$L$42=$B137)*'PUBG Mobile'!$F$11:$F$42)),0)</f>
        <v>0</v>
      </c>
      <c r="G137" s="130" t="n">
        <f aca="false">IFERROR(SUMPRODUCT(MAX(('Fortnite Reload'!$L$11:$L$50=$B137)*'Fortnite Reload'!$F$11:$F$50)),0)</f>
        <v>0</v>
      </c>
      <c r="H137" s="130" t="n">
        <f aca="false">IFERROR(SUMPRODUCT(MAX((Trackmania!$M$11:$M$42=$B137)*Trackmania!$G$11:$G$42)),0)</f>
        <v>0</v>
      </c>
      <c r="I137" s="130" t="n">
        <f aca="false">IFERROR(SUMPRODUCT(MAX(('Dota 2'!$N$11:$N$34=$B137)*'Dota 2'!$H$11:$H$34)),0)</f>
        <v>0</v>
      </c>
      <c r="J137" s="130" t="n">
        <f aca="false">IFERROR(SUMPRODUCT(MAX(('Tekken 8'!$N$11:$N$42=$B137)*'Tekken 8'!$H$11:$H$42)),0)</f>
        <v>0</v>
      </c>
      <c r="K137" s="130" t="n">
        <f aca="false">IFERROR(SUMPRODUCT(MAX(('Street Fighter 6'!$O$11:$O$42=$B137)*'Street Fighter 6'!$I$11:$I$42)),0)</f>
        <v>0</v>
      </c>
      <c r="L137" s="130" t="n">
        <f aca="false">IFERROR(SUMPRODUCT(MAX(('Fatal Fury CotW'!$L$11:$L$42=$B137)*'Fatal Fury CotW'!$F$11:$F$42)),0)</f>
        <v>0</v>
      </c>
      <c r="M137" s="130" t="n">
        <f aca="false">IFERROR(SUMPRODUCT(MAX((TFT!$N$11:$N$26=$B137)*TFT!$H$11:$H$26)),0)</f>
        <v>0</v>
      </c>
      <c r="N137" s="130" t="n">
        <f aca="false">IFERROR(SUMPRODUCT(MAX(('Rainbow Six'!$P$11:$P$32=$B137)*'Rainbow Six'!$J$11:$J$32)),0)</f>
        <v>0</v>
      </c>
      <c r="O137" s="130" t="n">
        <f aca="false">IFERROR(SUMPRODUCT(MAX((Warzone!$M$11:$M$42=$B137)*Warzone!$G$11:$G$42)),0)</f>
        <v>0</v>
      </c>
      <c r="P137" s="130" t="n">
        <f aca="false">IFERROR(SUMPRODUCT(MAX((Valorant!$N$11:$N$26=$B137)*Valorant!$H$11:$H$26)),0)</f>
        <v>0</v>
      </c>
      <c r="Q137" s="130" t="n">
        <f aca="false">IFERROR(SUMPRODUCT(MAX(('MLBB (MSC)'!$M$11:$M$35=$B137)*'MLBB (MSC)'!$G$11:$G$35)),0)</f>
        <v>0</v>
      </c>
      <c r="R137" s="130" t="n">
        <f aca="false">IFERROR(SUMPRODUCT(MAX(('Apex Legends'!$O$11:$O$50=$B137)*'Apex Legends'!$I$11:$I$50)),0)</f>
        <v>0</v>
      </c>
      <c r="S137" s="130" t="n">
        <f aca="false">IFERROR(SUMPRODUCT(MAX(('Honor of Kings'!$N$11:$N$30=$B137)*'Honor of Kings'!$H$11:$H$30)),0)</f>
        <v>0</v>
      </c>
      <c r="T137" s="130" t="n">
        <f aca="false">IFERROR(SUMPRODUCT(MAX((CrossFire!$L$11:$L$26=$B137)*CrossFire!$F$11:$F$26)),0)</f>
        <v>0</v>
      </c>
      <c r="U137" s="130" t="n">
        <f aca="false">IFERROR(SUMPRODUCT(MAX(('Free Fire'!$M$11:$M$34=$B137)*'Free Fire'!$G$11:$G$34)),0)</f>
        <v>0</v>
      </c>
      <c r="V137" s="130" t="n">
        <f aca="false">IFERROR(SUMPRODUCT(MAX(('EA FC 26'!$N$11:$N$46=$B137)*'EA FC 26'!$H$11:$H$46)),0)</f>
        <v>0</v>
      </c>
      <c r="W137" s="130" t="n">
        <f aca="false">IFERROR(SUMPRODUCT(MAX(('Black Ops 7'!$O$11:$O$26=$B137)*'Black Ops 7'!$J$11:$J$26)),0)</f>
        <v>0</v>
      </c>
      <c r="X137" s="130" t="n">
        <f aca="false">IFERROR(SUMPRODUCT(MAX(('Rocket League'!$P$11:$P$26=$B137)*'Rocket League'!$J$11:$J$26)),0)</f>
        <v>0</v>
      </c>
      <c r="Y137" s="130" t="n">
        <f aca="false">IFERROR(SUMPRODUCT(MAX(('Overwatch 2'!$L$11:$L$26=$B137)*'Overwatch 2'!$F$11:$F$26)),0)</f>
        <v>0</v>
      </c>
      <c r="Z137" s="130" t="n">
        <f aca="false">IFERROR(SUMPRODUCT(MAX((PUBG!$L$11:$L$34=$B137)*PUBG!$F$11:$F$34)),0)</f>
        <v>0</v>
      </c>
      <c r="AA137" s="130" t="n">
        <f aca="false">IFERROR(SUMPRODUCT(MAX(('MLBB Women'!$L$11:$L$26=$B137)*'MLBB Women'!$F$11:$F$26)),0)</f>
        <v>0</v>
      </c>
      <c r="AB137" s="130" t="n">
        <f aca="false">SUM(C137:AA137)</f>
        <v>0</v>
      </c>
      <c r="AC137" s="130"/>
      <c r="AD137" s="200" t="n">
        <f aca="false">AB137-AC137</f>
        <v>0</v>
      </c>
      <c r="AE137" s="82" t="str">
        <f aca="false">IF(AB137=0,"not started",IF(AD137=0,"reconciled",IF(AD137&gt;0,"CHECK NAMES","in progress")))</f>
        <v>not started</v>
      </c>
    </row>
    <row r="138" customFormat="false" ht="15" hidden="false" customHeight="true" outlineLevel="0" collapsed="false">
      <c r="B138" s="92" t="s">
        <v>398</v>
      </c>
      <c r="C138" s="130" t="n">
        <f aca="false">IFERROR(SUMIF(CS2!$L$11:$L$42,$B138,CS2!$F$11:$F$42),0)</f>
        <v>0</v>
      </c>
      <c r="D138" s="130" t="n">
        <f aca="false">IFERROR(SUMPRODUCT(MAX((Chess!$L$11:$L$32=$B138)*Chess!$F$11:$F$32)),0)</f>
        <v>0</v>
      </c>
      <c r="E138" s="130" t="n">
        <f aca="false">IFERROR(SUMPRODUCT(MAX((LoL!$L$11:$L$26=$B138)*LoL!$F$11:$F$26)),0)</f>
        <v>0</v>
      </c>
      <c r="F138" s="130" t="n">
        <f aca="false">IFERROR(SUMPRODUCT(MAX(('PUBG Mobile'!$L$11:$L$42=$B138)*'PUBG Mobile'!$F$11:$F$42)),0)</f>
        <v>0</v>
      </c>
      <c r="G138" s="130" t="n">
        <f aca="false">IFERROR(SUMPRODUCT(MAX(('Fortnite Reload'!$L$11:$L$50=$B138)*'Fortnite Reload'!$F$11:$F$50)),0)</f>
        <v>0</v>
      </c>
      <c r="H138" s="130" t="n">
        <f aca="false">IFERROR(SUMPRODUCT(MAX((Trackmania!$M$11:$M$42=$B138)*Trackmania!$G$11:$G$42)),0)</f>
        <v>0</v>
      </c>
      <c r="I138" s="130" t="n">
        <f aca="false">IFERROR(SUMPRODUCT(MAX(('Dota 2'!$N$11:$N$34=$B138)*'Dota 2'!$H$11:$H$34)),0)</f>
        <v>0</v>
      </c>
      <c r="J138" s="130" t="n">
        <f aca="false">IFERROR(SUMPRODUCT(MAX(('Tekken 8'!$N$11:$N$42=$B138)*'Tekken 8'!$H$11:$H$42)),0)</f>
        <v>0</v>
      </c>
      <c r="K138" s="130" t="n">
        <f aca="false">IFERROR(SUMPRODUCT(MAX(('Street Fighter 6'!$O$11:$O$42=$B138)*'Street Fighter 6'!$I$11:$I$42)),0)</f>
        <v>0</v>
      </c>
      <c r="L138" s="130" t="n">
        <f aca="false">IFERROR(SUMPRODUCT(MAX(('Fatal Fury CotW'!$L$11:$L$42=$B138)*'Fatal Fury CotW'!$F$11:$F$42)),0)</f>
        <v>0</v>
      </c>
      <c r="M138" s="130" t="n">
        <f aca="false">IFERROR(SUMPRODUCT(MAX((TFT!$N$11:$N$26=$B138)*TFT!$H$11:$H$26)),0)</f>
        <v>0</v>
      </c>
      <c r="N138" s="130" t="n">
        <f aca="false">IFERROR(SUMPRODUCT(MAX(('Rainbow Six'!$P$11:$P$32=$B138)*'Rainbow Six'!$J$11:$J$32)),0)</f>
        <v>0</v>
      </c>
      <c r="O138" s="130" t="n">
        <f aca="false">IFERROR(SUMPRODUCT(MAX((Warzone!$M$11:$M$42=$B138)*Warzone!$G$11:$G$42)),0)</f>
        <v>0</v>
      </c>
      <c r="P138" s="130" t="n">
        <f aca="false">IFERROR(SUMPRODUCT(MAX((Valorant!$N$11:$N$26=$B138)*Valorant!$H$11:$H$26)),0)</f>
        <v>0</v>
      </c>
      <c r="Q138" s="130" t="n">
        <f aca="false">IFERROR(SUMPRODUCT(MAX(('MLBB (MSC)'!$M$11:$M$35=$B138)*'MLBB (MSC)'!$G$11:$G$35)),0)</f>
        <v>0</v>
      </c>
      <c r="R138" s="130" t="n">
        <f aca="false">IFERROR(SUMPRODUCT(MAX(('Apex Legends'!$O$11:$O$50=$B138)*'Apex Legends'!$I$11:$I$50)),0)</f>
        <v>0</v>
      </c>
      <c r="S138" s="130" t="n">
        <f aca="false">IFERROR(SUMPRODUCT(MAX(('Honor of Kings'!$N$11:$N$30=$B138)*'Honor of Kings'!$H$11:$H$30)),0)</f>
        <v>0</v>
      </c>
      <c r="T138" s="130" t="n">
        <f aca="false">IFERROR(SUMPRODUCT(MAX((CrossFire!$L$11:$L$26=$B138)*CrossFire!$F$11:$F$26)),0)</f>
        <v>0</v>
      </c>
      <c r="U138" s="130" t="n">
        <f aca="false">IFERROR(SUMPRODUCT(MAX(('Free Fire'!$M$11:$M$34=$B138)*'Free Fire'!$G$11:$G$34)),0)</f>
        <v>0</v>
      </c>
      <c r="V138" s="130" t="n">
        <f aca="false">IFERROR(SUMPRODUCT(MAX(('EA FC 26'!$N$11:$N$46=$B138)*'EA FC 26'!$H$11:$H$46)),0)</f>
        <v>0</v>
      </c>
      <c r="W138" s="130" t="n">
        <f aca="false">IFERROR(SUMPRODUCT(MAX(('Black Ops 7'!$O$11:$O$26=$B138)*'Black Ops 7'!$J$11:$J$26)),0)</f>
        <v>0</v>
      </c>
      <c r="X138" s="130" t="n">
        <f aca="false">IFERROR(SUMPRODUCT(MAX(('Rocket League'!$P$11:$P$26=$B138)*'Rocket League'!$J$11:$J$26)),0)</f>
        <v>0</v>
      </c>
      <c r="Y138" s="130" t="n">
        <f aca="false">IFERROR(SUMPRODUCT(MAX(('Overwatch 2'!$L$11:$L$26=$B138)*'Overwatch 2'!$F$11:$F$26)),0)</f>
        <v>0</v>
      </c>
      <c r="Z138" s="130" t="n">
        <f aca="false">IFERROR(SUMPRODUCT(MAX((PUBG!$L$11:$L$34=$B138)*PUBG!$F$11:$F$34)),0)</f>
        <v>0</v>
      </c>
      <c r="AA138" s="130" t="n">
        <f aca="false">IFERROR(SUMPRODUCT(MAX(('MLBB Women'!$L$11:$L$26=$B138)*'MLBB Women'!$F$11:$F$26)),0)</f>
        <v>0</v>
      </c>
      <c r="AB138" s="130" t="n">
        <f aca="false">SUM(C138:AA138)</f>
        <v>0</v>
      </c>
      <c r="AC138" s="130"/>
      <c r="AD138" s="200" t="n">
        <f aca="false">AB138-AC138</f>
        <v>0</v>
      </c>
      <c r="AE138" s="82" t="str">
        <f aca="false">IF(AB138=0,"not started",IF(AD138=0,"reconciled",IF(AD138&gt;0,"CHECK NAMES","in progress")))</f>
        <v>not started</v>
      </c>
    </row>
    <row r="139" customFormat="false" ht="15" hidden="false" customHeight="true" outlineLevel="0" collapsed="false">
      <c r="B139" s="92" t="s">
        <v>1328</v>
      </c>
      <c r="C139" s="130" t="n">
        <f aca="false">IFERROR(SUMIF(CS2!$L$11:$L$42,$B139,CS2!$F$11:$F$42),0)</f>
        <v>0</v>
      </c>
      <c r="D139" s="130" t="n">
        <f aca="false">IFERROR(SUMPRODUCT(MAX((Chess!$L$11:$L$32=$B139)*Chess!$F$11:$F$32)),0)</f>
        <v>0</v>
      </c>
      <c r="E139" s="130" t="n">
        <f aca="false">IFERROR(SUMPRODUCT(MAX((LoL!$L$11:$L$26=$B139)*LoL!$F$11:$F$26)),0)</f>
        <v>0</v>
      </c>
      <c r="F139" s="130" t="n">
        <f aca="false">IFERROR(SUMPRODUCT(MAX(('PUBG Mobile'!$L$11:$L$42=$B139)*'PUBG Mobile'!$F$11:$F$42)),0)</f>
        <v>0</v>
      </c>
      <c r="G139" s="130" t="n">
        <f aca="false">IFERROR(SUMPRODUCT(MAX(('Fortnite Reload'!$L$11:$L$50=$B139)*'Fortnite Reload'!$F$11:$F$50)),0)</f>
        <v>0</v>
      </c>
      <c r="H139" s="130" t="n">
        <f aca="false">IFERROR(SUMPRODUCT(MAX((Trackmania!$M$11:$M$42=$B139)*Trackmania!$G$11:$G$42)),0)</f>
        <v>0</v>
      </c>
      <c r="I139" s="130" t="n">
        <f aca="false">IFERROR(SUMPRODUCT(MAX(('Dota 2'!$N$11:$N$34=$B139)*'Dota 2'!$H$11:$H$34)),0)</f>
        <v>0</v>
      </c>
      <c r="J139" s="130" t="n">
        <f aca="false">IFERROR(SUMPRODUCT(MAX(('Tekken 8'!$N$11:$N$42=$B139)*'Tekken 8'!$H$11:$H$42)),0)</f>
        <v>0</v>
      </c>
      <c r="K139" s="130" t="n">
        <f aca="false">IFERROR(SUMPRODUCT(MAX(('Street Fighter 6'!$O$11:$O$42=$B139)*'Street Fighter 6'!$I$11:$I$42)),0)</f>
        <v>0</v>
      </c>
      <c r="L139" s="130" t="n">
        <f aca="false">IFERROR(SUMPRODUCT(MAX(('Fatal Fury CotW'!$L$11:$L$42=$B139)*'Fatal Fury CotW'!$F$11:$F$42)),0)</f>
        <v>0</v>
      </c>
      <c r="M139" s="130" t="n">
        <f aca="false">IFERROR(SUMPRODUCT(MAX((TFT!$N$11:$N$26=$B139)*TFT!$H$11:$H$26)),0)</f>
        <v>0</v>
      </c>
      <c r="N139" s="130" t="n">
        <f aca="false">IFERROR(SUMPRODUCT(MAX(('Rainbow Six'!$P$11:$P$32=$B139)*'Rainbow Six'!$J$11:$J$32)),0)</f>
        <v>0</v>
      </c>
      <c r="O139" s="130" t="n">
        <f aca="false">IFERROR(SUMPRODUCT(MAX((Warzone!$M$11:$M$42=$B139)*Warzone!$G$11:$G$42)),0)</f>
        <v>0</v>
      </c>
      <c r="P139" s="130" t="n">
        <f aca="false">IFERROR(SUMPRODUCT(MAX((Valorant!$N$11:$N$26=$B139)*Valorant!$H$11:$H$26)),0)</f>
        <v>0</v>
      </c>
      <c r="Q139" s="130" t="n">
        <f aca="false">IFERROR(SUMPRODUCT(MAX(('MLBB (MSC)'!$M$11:$M$35=$B139)*'MLBB (MSC)'!$G$11:$G$35)),0)</f>
        <v>0</v>
      </c>
      <c r="R139" s="130" t="n">
        <f aca="false">IFERROR(SUMPRODUCT(MAX(('Apex Legends'!$O$11:$O$50=$B139)*'Apex Legends'!$I$11:$I$50)),0)</f>
        <v>0</v>
      </c>
      <c r="S139" s="130" t="n">
        <f aca="false">IFERROR(SUMPRODUCT(MAX(('Honor of Kings'!$N$11:$N$30=$B139)*'Honor of Kings'!$H$11:$H$30)),0)</f>
        <v>0</v>
      </c>
      <c r="T139" s="130" t="n">
        <f aca="false">IFERROR(SUMPRODUCT(MAX((CrossFire!$L$11:$L$26=$B139)*CrossFire!$F$11:$F$26)),0)</f>
        <v>1000</v>
      </c>
      <c r="U139" s="130" t="n">
        <f aca="false">IFERROR(SUMPRODUCT(MAX(('Free Fire'!$M$11:$M$34=$B139)*'Free Fire'!$G$11:$G$34)),0)</f>
        <v>0</v>
      </c>
      <c r="V139" s="130" t="n">
        <f aca="false">IFERROR(SUMPRODUCT(MAX(('EA FC 26'!$N$11:$N$46=$B139)*'EA FC 26'!$H$11:$H$46)),0)</f>
        <v>0</v>
      </c>
      <c r="W139" s="130" t="n">
        <f aca="false">IFERROR(SUMPRODUCT(MAX(('Black Ops 7'!$O$11:$O$26=$B139)*'Black Ops 7'!$J$11:$J$26)),0)</f>
        <v>0</v>
      </c>
      <c r="X139" s="130" t="n">
        <f aca="false">IFERROR(SUMPRODUCT(MAX(('Rocket League'!$P$11:$P$26=$B139)*'Rocket League'!$J$11:$J$26)),0)</f>
        <v>0</v>
      </c>
      <c r="Y139" s="130" t="n">
        <f aca="false">IFERROR(SUMPRODUCT(MAX(('Overwatch 2'!$L$11:$L$26=$B139)*'Overwatch 2'!$F$11:$F$26)),0)</f>
        <v>0</v>
      </c>
      <c r="Z139" s="130" t="n">
        <f aca="false">IFERROR(SUMPRODUCT(MAX((PUBG!$L$11:$L$34=$B139)*PUBG!$F$11:$F$34)),0)</f>
        <v>0</v>
      </c>
      <c r="AA139" s="130" t="n">
        <f aca="false">IFERROR(SUMPRODUCT(MAX(('MLBB Women'!$L$11:$L$26=$B139)*'MLBB Women'!$F$11:$F$26)),0)</f>
        <v>0</v>
      </c>
      <c r="AB139" s="130" t="n">
        <f aca="false">SUM(C139:AA139)</f>
        <v>1000</v>
      </c>
      <c r="AC139" s="130" t="n">
        <v>1000</v>
      </c>
      <c r="AD139" s="200" t="n">
        <f aca="false">AB139-AC139</f>
        <v>0</v>
      </c>
      <c r="AE139" s="82" t="str">
        <f aca="false">IF(AB139=0,"not started",IF(AD139=0,"reconciled",IF(AD139&gt;0,"CHECK NAMES","in progress")))</f>
        <v>reconciled</v>
      </c>
    </row>
    <row r="140" customFormat="false" ht="15" hidden="false" customHeight="true" outlineLevel="0" collapsed="false">
      <c r="B140" s="92" t="s">
        <v>1433</v>
      </c>
      <c r="C140" s="130" t="n">
        <f aca="false">IFERROR(SUMIF(CS2!$L$11:$L$42,$B140,CS2!$F$11:$F$42),0)</f>
        <v>0</v>
      </c>
      <c r="D140" s="130" t="n">
        <f aca="false">IFERROR(SUMPRODUCT(MAX((Chess!$L$11:$L$32=$B140)*Chess!$F$11:$F$32)),0)</f>
        <v>0</v>
      </c>
      <c r="E140" s="130" t="n">
        <f aca="false">IFERROR(SUMPRODUCT(MAX((LoL!$L$11:$L$26=$B140)*LoL!$F$11:$F$26)),0)</f>
        <v>0</v>
      </c>
      <c r="F140" s="130" t="n">
        <f aca="false">IFERROR(SUMPRODUCT(MAX(('PUBG Mobile'!$L$11:$L$42=$B140)*'PUBG Mobile'!$F$11:$F$42)),0)</f>
        <v>0</v>
      </c>
      <c r="G140" s="130" t="n">
        <f aca="false">IFERROR(SUMPRODUCT(MAX(('Fortnite Reload'!$L$11:$L$50=$B140)*'Fortnite Reload'!$F$11:$F$50)),0)</f>
        <v>0</v>
      </c>
      <c r="H140" s="130" t="n">
        <f aca="false">IFERROR(SUMPRODUCT(MAX((Trackmania!$M$11:$M$42=$B140)*Trackmania!$G$11:$G$42)),0)</f>
        <v>0</v>
      </c>
      <c r="I140" s="130" t="n">
        <f aca="false">IFERROR(SUMPRODUCT(MAX(('Dota 2'!$N$11:$N$34=$B140)*'Dota 2'!$H$11:$H$34)),0)</f>
        <v>0</v>
      </c>
      <c r="J140" s="130" t="n">
        <f aca="false">IFERROR(SUMPRODUCT(MAX(('Tekken 8'!$N$11:$N$42=$B140)*'Tekken 8'!$H$11:$H$42)),0)</f>
        <v>0</v>
      </c>
      <c r="K140" s="130" t="n">
        <f aca="false">IFERROR(SUMPRODUCT(MAX(('Street Fighter 6'!$O$11:$O$42=$B140)*'Street Fighter 6'!$I$11:$I$42)),0)</f>
        <v>0</v>
      </c>
      <c r="L140" s="130" t="n">
        <f aca="false">IFERROR(SUMPRODUCT(MAX(('Fatal Fury CotW'!$L$11:$L$42=$B140)*'Fatal Fury CotW'!$F$11:$F$42)),0)</f>
        <v>0</v>
      </c>
      <c r="M140" s="130" t="n">
        <f aca="false">IFERROR(SUMPRODUCT(MAX((TFT!$N$11:$N$26=$B140)*TFT!$H$11:$H$26)),0)</f>
        <v>0</v>
      </c>
      <c r="N140" s="130" t="n">
        <f aca="false">IFERROR(SUMPRODUCT(MAX(('Rainbow Six'!$P$11:$P$32=$B140)*'Rainbow Six'!$J$11:$J$32)),0)</f>
        <v>0</v>
      </c>
      <c r="O140" s="130" t="n">
        <f aca="false">IFERROR(SUMPRODUCT(MAX((Warzone!$M$11:$M$42=$B140)*Warzone!$G$11:$G$42)),0)</f>
        <v>0</v>
      </c>
      <c r="P140" s="130" t="n">
        <f aca="false">IFERROR(SUMPRODUCT(MAX((Valorant!$N$11:$N$26=$B140)*Valorant!$H$11:$H$26)),0)</f>
        <v>0</v>
      </c>
      <c r="Q140" s="130" t="n">
        <f aca="false">IFERROR(SUMPRODUCT(MAX(('MLBB (MSC)'!$M$11:$M$35=$B140)*'MLBB (MSC)'!$G$11:$G$35)),0)</f>
        <v>0</v>
      </c>
      <c r="R140" s="130" t="n">
        <f aca="false">IFERROR(SUMPRODUCT(MAX(('Apex Legends'!$O$11:$O$50=$B140)*'Apex Legends'!$I$11:$I$50)),0)</f>
        <v>0</v>
      </c>
      <c r="S140" s="130" t="n">
        <f aca="false">IFERROR(SUMPRODUCT(MAX(('Honor of Kings'!$N$11:$N$30=$B140)*'Honor of Kings'!$H$11:$H$30)),0)</f>
        <v>0</v>
      </c>
      <c r="T140" s="130" t="n">
        <f aca="false">IFERROR(SUMPRODUCT(MAX((CrossFire!$L$11:$L$26=$B140)*CrossFire!$F$11:$F$26)),0)</f>
        <v>0</v>
      </c>
      <c r="U140" s="130" t="n">
        <f aca="false">IFERROR(SUMPRODUCT(MAX(('Free Fire'!$M$11:$M$34=$B140)*'Free Fire'!$G$11:$G$34)),0)</f>
        <v>0</v>
      </c>
      <c r="V140" s="130" t="n">
        <f aca="false">IFERROR(SUMPRODUCT(MAX(('EA FC 26'!$N$11:$N$46=$B140)*'EA FC 26'!$H$11:$H$46)),0)</f>
        <v>1000</v>
      </c>
      <c r="W140" s="130" t="n">
        <f aca="false">IFERROR(SUMPRODUCT(MAX(('Black Ops 7'!$O$11:$O$26=$B140)*'Black Ops 7'!$J$11:$J$26)),0)</f>
        <v>0</v>
      </c>
      <c r="X140" s="130" t="n">
        <f aca="false">IFERROR(SUMPRODUCT(MAX(('Rocket League'!$P$11:$P$26=$B140)*'Rocket League'!$J$11:$J$26)),0)</f>
        <v>0</v>
      </c>
      <c r="Y140" s="130" t="n">
        <f aca="false">IFERROR(SUMPRODUCT(MAX(('Overwatch 2'!$L$11:$L$26=$B140)*'Overwatch 2'!$F$11:$F$26)),0)</f>
        <v>0</v>
      </c>
      <c r="Z140" s="130" t="n">
        <f aca="false">IFERROR(SUMPRODUCT(MAX((PUBG!$L$11:$L$34=$B140)*PUBG!$F$11:$F$34)),0)</f>
        <v>0</v>
      </c>
      <c r="AA140" s="130" t="n">
        <f aca="false">IFERROR(SUMPRODUCT(MAX(('MLBB Women'!$L$11:$L$26=$B140)*'MLBB Women'!$F$11:$F$26)),0)</f>
        <v>0</v>
      </c>
      <c r="AB140" s="130" t="n">
        <f aca="false">SUM(C140:AA140)</f>
        <v>1000</v>
      </c>
      <c r="AC140" s="130" t="n">
        <v>1000</v>
      </c>
      <c r="AD140" s="200" t="n">
        <f aca="false">AB140-AC140</f>
        <v>0</v>
      </c>
      <c r="AE140" s="82" t="str">
        <f aca="false">IF(AB140=0,"not started",IF(AD140=0,"reconciled",IF(AD140&gt;0,"CHECK NAMES","in progress")))</f>
        <v>reconciled</v>
      </c>
    </row>
    <row r="141" customFormat="false" ht="15" hidden="false" customHeight="true" outlineLevel="0" collapsed="false">
      <c r="B141" s="92" t="s">
        <v>1478</v>
      </c>
      <c r="C141" s="130" t="n">
        <f aca="false">IFERROR(SUMIF(CS2!$L$11:$L$42,$B141,CS2!$F$11:$F$42),0)</f>
        <v>0</v>
      </c>
      <c r="D141" s="130" t="n">
        <f aca="false">IFERROR(SUMPRODUCT(MAX((Chess!$L$11:$L$32=$B141)*Chess!$F$11:$F$32)),0)</f>
        <v>0</v>
      </c>
      <c r="E141" s="130" t="n">
        <f aca="false">IFERROR(SUMPRODUCT(MAX((LoL!$L$11:$L$26=$B141)*LoL!$F$11:$F$26)),0)</f>
        <v>0</v>
      </c>
      <c r="F141" s="130" t="n">
        <f aca="false">IFERROR(SUMPRODUCT(MAX(('PUBG Mobile'!$L$11:$L$42=$B141)*'PUBG Mobile'!$F$11:$F$42)),0)</f>
        <v>0</v>
      </c>
      <c r="G141" s="130" t="n">
        <f aca="false">IFERROR(SUMPRODUCT(MAX(('Fortnite Reload'!$L$11:$L$50=$B141)*'Fortnite Reload'!$F$11:$F$50)),0)</f>
        <v>0</v>
      </c>
      <c r="H141" s="130" t="n">
        <f aca="false">IFERROR(SUMPRODUCT(MAX((Trackmania!$M$11:$M$42=$B141)*Trackmania!$G$11:$G$42)),0)</f>
        <v>0</v>
      </c>
      <c r="I141" s="130" t="n">
        <f aca="false">IFERROR(SUMPRODUCT(MAX(('Dota 2'!$N$11:$N$34=$B141)*'Dota 2'!$H$11:$H$34)),0)</f>
        <v>0</v>
      </c>
      <c r="J141" s="130" t="n">
        <f aca="false">IFERROR(SUMPRODUCT(MAX(('Tekken 8'!$N$11:$N$42=$B141)*'Tekken 8'!$H$11:$H$42)),0)</f>
        <v>0</v>
      </c>
      <c r="K141" s="130" t="n">
        <f aca="false">IFERROR(SUMPRODUCT(MAX(('Street Fighter 6'!$O$11:$O$42=$B141)*'Street Fighter 6'!$I$11:$I$42)),0)</f>
        <v>0</v>
      </c>
      <c r="L141" s="130" t="n">
        <f aca="false">IFERROR(SUMPRODUCT(MAX(('Fatal Fury CotW'!$L$11:$L$42=$B141)*'Fatal Fury CotW'!$F$11:$F$42)),0)</f>
        <v>0</v>
      </c>
      <c r="M141" s="130" t="n">
        <f aca="false">IFERROR(SUMPRODUCT(MAX((TFT!$N$11:$N$26=$B141)*TFT!$H$11:$H$26)),0)</f>
        <v>0</v>
      </c>
      <c r="N141" s="130" t="n">
        <f aca="false">IFERROR(SUMPRODUCT(MAX(('Rainbow Six'!$P$11:$P$32=$B141)*'Rainbow Six'!$J$11:$J$32)),0)</f>
        <v>0</v>
      </c>
      <c r="O141" s="130" t="n">
        <f aca="false">IFERROR(SUMPRODUCT(MAX((Warzone!$M$11:$M$42=$B141)*Warzone!$G$11:$G$42)),0)</f>
        <v>0</v>
      </c>
      <c r="P141" s="130" t="n">
        <f aca="false">IFERROR(SUMPRODUCT(MAX((Valorant!$N$11:$N$26=$B141)*Valorant!$H$11:$H$26)),0)</f>
        <v>0</v>
      </c>
      <c r="Q141" s="130" t="n">
        <f aca="false">IFERROR(SUMPRODUCT(MAX(('MLBB (MSC)'!$M$11:$M$35=$B141)*'MLBB (MSC)'!$G$11:$G$35)),0)</f>
        <v>0</v>
      </c>
      <c r="R141" s="130" t="n">
        <f aca="false">IFERROR(SUMPRODUCT(MAX(('Apex Legends'!$O$11:$O$50=$B141)*'Apex Legends'!$I$11:$I$50)),0)</f>
        <v>0</v>
      </c>
      <c r="S141" s="130" t="n">
        <f aca="false">IFERROR(SUMPRODUCT(MAX(('Honor of Kings'!$N$11:$N$30=$B141)*'Honor of Kings'!$H$11:$H$30)),0)</f>
        <v>0</v>
      </c>
      <c r="T141" s="130" t="n">
        <f aca="false">IFERROR(SUMPRODUCT(MAX((CrossFire!$L$11:$L$26=$B141)*CrossFire!$F$11:$F$26)),0)</f>
        <v>0</v>
      </c>
      <c r="U141" s="130" t="n">
        <f aca="false">IFERROR(SUMPRODUCT(MAX(('Free Fire'!$M$11:$M$34=$B141)*'Free Fire'!$G$11:$G$34)),0)</f>
        <v>0</v>
      </c>
      <c r="V141" s="130" t="n">
        <f aca="false">IFERROR(SUMPRODUCT(MAX(('EA FC 26'!$N$11:$N$46=$B141)*'EA FC 26'!$H$11:$H$46)),0)</f>
        <v>0</v>
      </c>
      <c r="W141" s="130" t="n">
        <f aca="false">IFERROR(SUMPRODUCT(MAX(('Black Ops 7'!$O$11:$O$26=$B141)*'Black Ops 7'!$J$11:$J$26)),0)</f>
        <v>1000</v>
      </c>
      <c r="X141" s="130" t="n">
        <f aca="false">IFERROR(SUMPRODUCT(MAX(('Rocket League'!$P$11:$P$26=$B141)*'Rocket League'!$J$11:$J$26)),0)</f>
        <v>0</v>
      </c>
      <c r="Y141" s="130" t="n">
        <f aca="false">IFERROR(SUMPRODUCT(MAX(('Overwatch 2'!$L$11:$L$26=$B141)*'Overwatch 2'!$F$11:$F$26)),0)</f>
        <v>0</v>
      </c>
      <c r="Z141" s="130" t="n">
        <f aca="false">IFERROR(SUMPRODUCT(MAX((PUBG!$L$11:$L$34=$B141)*PUBG!$F$11:$F$34)),0)</f>
        <v>0</v>
      </c>
      <c r="AA141" s="130" t="n">
        <f aca="false">IFERROR(SUMPRODUCT(MAX(('MLBB Women'!$L$11:$L$26=$B141)*'MLBB Women'!$F$11:$F$26)),0)</f>
        <v>0</v>
      </c>
      <c r="AB141" s="130" t="n">
        <f aca="false">SUM(C141:AA141)</f>
        <v>1000</v>
      </c>
      <c r="AC141" s="130" t="n">
        <v>1000</v>
      </c>
      <c r="AD141" s="200" t="n">
        <f aca="false">AB141-AC141</f>
        <v>0</v>
      </c>
      <c r="AE141" s="82" t="str">
        <f aca="false">IF(AB141=0,"not started",IF(AD141=0,"reconciled",IF(AD141&gt;0,"CHECK NAMES","in progress")))</f>
        <v>reconciled</v>
      </c>
    </row>
    <row r="142" customFormat="false" ht="15" hidden="false" customHeight="true" outlineLevel="0" collapsed="false">
      <c r="B142" s="92" t="s">
        <v>1242</v>
      </c>
      <c r="C142" s="130" t="n">
        <f aca="false">IFERROR(SUMIF(CS2!$L$11:$L$42,$B142,CS2!$F$11:$F$42),0)</f>
        <v>0</v>
      </c>
      <c r="D142" s="130" t="n">
        <f aca="false">IFERROR(SUMPRODUCT(MAX((Chess!$L$11:$L$32=$B142)*Chess!$F$11:$F$32)),0)</f>
        <v>0</v>
      </c>
      <c r="E142" s="130" t="n">
        <f aca="false">IFERROR(SUMPRODUCT(MAX((LoL!$L$11:$L$26=$B142)*LoL!$F$11:$F$26)),0)</f>
        <v>0</v>
      </c>
      <c r="F142" s="130" t="n">
        <f aca="false">IFERROR(SUMPRODUCT(MAX(('PUBG Mobile'!$L$11:$L$42=$B142)*'PUBG Mobile'!$F$11:$F$42)),0)</f>
        <v>0</v>
      </c>
      <c r="G142" s="130" t="n">
        <f aca="false">IFERROR(SUMPRODUCT(MAX(('Fortnite Reload'!$L$11:$L$50=$B142)*'Fortnite Reload'!$F$11:$F$50)),0)</f>
        <v>0</v>
      </c>
      <c r="H142" s="130" t="n">
        <f aca="false">IFERROR(SUMPRODUCT(MAX((Trackmania!$M$11:$M$42=$B142)*Trackmania!$G$11:$G$42)),0)</f>
        <v>0</v>
      </c>
      <c r="I142" s="130" t="n">
        <f aca="false">IFERROR(SUMPRODUCT(MAX(('Dota 2'!$N$11:$N$34=$B142)*'Dota 2'!$H$11:$H$34)),0)</f>
        <v>0</v>
      </c>
      <c r="J142" s="130" t="n">
        <f aca="false">IFERROR(SUMPRODUCT(MAX(('Tekken 8'!$N$11:$N$42=$B142)*'Tekken 8'!$H$11:$H$42)),0)</f>
        <v>0</v>
      </c>
      <c r="K142" s="130" t="n">
        <f aca="false">IFERROR(SUMPRODUCT(MAX(('Street Fighter 6'!$O$11:$O$42=$B142)*'Street Fighter 6'!$I$11:$I$42)),0)</f>
        <v>0</v>
      </c>
      <c r="L142" s="130" t="n">
        <f aca="false">IFERROR(SUMPRODUCT(MAX(('Fatal Fury CotW'!$L$11:$L$42=$B142)*'Fatal Fury CotW'!$F$11:$F$42)),0)</f>
        <v>0</v>
      </c>
      <c r="M142" s="130" t="n">
        <f aca="false">IFERROR(SUMPRODUCT(MAX((TFT!$N$11:$N$26=$B142)*TFT!$H$11:$H$26)),0)</f>
        <v>0</v>
      </c>
      <c r="N142" s="130" t="n">
        <f aca="false">IFERROR(SUMPRODUCT(MAX(('Rainbow Six'!$P$11:$P$32=$B142)*'Rainbow Six'!$J$11:$J$32)),0)</f>
        <v>0</v>
      </c>
      <c r="O142" s="130" t="n">
        <f aca="false">IFERROR(SUMPRODUCT(MAX((Warzone!$M$11:$M$42=$B142)*Warzone!$G$11:$G$42)),0)</f>
        <v>0</v>
      </c>
      <c r="P142" s="130" t="n">
        <f aca="false">IFERROR(SUMPRODUCT(MAX((Valorant!$N$11:$N$26=$B142)*Valorant!$H$11:$H$26)),0)</f>
        <v>0</v>
      </c>
      <c r="Q142" s="130" t="n">
        <f aca="false">IFERROR(SUMPRODUCT(MAX(('MLBB (MSC)'!$M$11:$M$35=$B142)*'MLBB (MSC)'!$G$11:$G$35)),0)</f>
        <v>0</v>
      </c>
      <c r="R142" s="130" t="n">
        <f aca="false">IFERROR(SUMPRODUCT(MAX(('Apex Legends'!$O$11:$O$50=$B142)*'Apex Legends'!$I$11:$I$50)),0)</f>
        <v>1000</v>
      </c>
      <c r="S142" s="130" t="n">
        <f aca="false">IFERROR(SUMPRODUCT(MAX(('Honor of Kings'!$N$11:$N$30=$B142)*'Honor of Kings'!$H$11:$H$30)),0)</f>
        <v>0</v>
      </c>
      <c r="T142" s="130" t="n">
        <f aca="false">IFERROR(SUMPRODUCT(MAX((CrossFire!$L$11:$L$26=$B142)*CrossFire!$F$11:$F$26)),0)</f>
        <v>0</v>
      </c>
      <c r="U142" s="130" t="n">
        <f aca="false">IFERROR(SUMPRODUCT(MAX(('Free Fire'!$M$11:$M$34=$B142)*'Free Fire'!$G$11:$G$34)),0)</f>
        <v>0</v>
      </c>
      <c r="V142" s="130" t="n">
        <f aca="false">IFERROR(SUMPRODUCT(MAX(('EA FC 26'!$N$11:$N$46=$B142)*'EA FC 26'!$H$11:$H$46)),0)</f>
        <v>0</v>
      </c>
      <c r="W142" s="130" t="n">
        <f aca="false">IFERROR(SUMPRODUCT(MAX(('Black Ops 7'!$O$11:$O$26=$B142)*'Black Ops 7'!$J$11:$J$26)),0)</f>
        <v>0</v>
      </c>
      <c r="X142" s="130" t="n">
        <f aca="false">IFERROR(SUMPRODUCT(MAX(('Rocket League'!$P$11:$P$26=$B142)*'Rocket League'!$J$11:$J$26)),0)</f>
        <v>0</v>
      </c>
      <c r="Y142" s="130" t="n">
        <f aca="false">IFERROR(SUMPRODUCT(MAX(('Overwatch 2'!$L$11:$L$26=$B142)*'Overwatch 2'!$F$11:$F$26)),0)</f>
        <v>0</v>
      </c>
      <c r="Z142" s="130" t="n">
        <f aca="false">IFERROR(SUMPRODUCT(MAX((PUBG!$L$11:$L$34=$B142)*PUBG!$F$11:$F$34)),0)</f>
        <v>0</v>
      </c>
      <c r="AA142" s="130" t="n">
        <f aca="false">IFERROR(SUMPRODUCT(MAX(('MLBB Women'!$L$11:$L$26=$B142)*'MLBB Women'!$F$11:$F$26)),0)</f>
        <v>0</v>
      </c>
      <c r="AB142" s="130" t="n">
        <f aca="false">SUM(C142:AA142)</f>
        <v>1000</v>
      </c>
      <c r="AC142" s="130" t="n">
        <v>1000</v>
      </c>
      <c r="AD142" s="200" t="n">
        <f aca="false">AB142-AC142</f>
        <v>0</v>
      </c>
      <c r="AE142" s="82" t="str">
        <f aca="false">IF(AB142=0,"not started",IF(AD142=0,"reconciled",IF(AD142&gt;0,"CHECK NAMES","in progress")))</f>
        <v>reconciled</v>
      </c>
    </row>
    <row r="143" customFormat="false" ht="15" hidden="false" customHeight="true" outlineLevel="0" collapsed="false">
      <c r="B143" s="92" t="s">
        <v>1420</v>
      </c>
      <c r="C143" s="130" t="n">
        <f aca="false">IFERROR(SUMIF(CS2!$L$11:$L$42,$B143,CS2!$F$11:$F$42),0)</f>
        <v>0</v>
      </c>
      <c r="D143" s="130" t="n">
        <f aca="false">IFERROR(SUMPRODUCT(MAX((Chess!$L$11:$L$32=$B143)*Chess!$F$11:$F$32)),0)</f>
        <v>0</v>
      </c>
      <c r="E143" s="130" t="n">
        <f aca="false">IFERROR(SUMPRODUCT(MAX((LoL!$L$11:$L$26=$B143)*LoL!$F$11:$F$26)),0)</f>
        <v>0</v>
      </c>
      <c r="F143" s="130" t="n">
        <f aca="false">IFERROR(SUMPRODUCT(MAX(('PUBG Mobile'!$L$11:$L$42=$B143)*'PUBG Mobile'!$F$11:$F$42)),0)</f>
        <v>0</v>
      </c>
      <c r="G143" s="130" t="n">
        <f aca="false">IFERROR(SUMPRODUCT(MAX(('Fortnite Reload'!$L$11:$L$50=$B143)*'Fortnite Reload'!$F$11:$F$50)),0)</f>
        <v>0</v>
      </c>
      <c r="H143" s="130" t="n">
        <f aca="false">IFERROR(SUMPRODUCT(MAX((Trackmania!$M$11:$M$42=$B143)*Trackmania!$G$11:$G$42)),0)</f>
        <v>0</v>
      </c>
      <c r="I143" s="130" t="n">
        <f aca="false">IFERROR(SUMPRODUCT(MAX(('Dota 2'!$N$11:$N$34=$B143)*'Dota 2'!$H$11:$H$34)),0)</f>
        <v>0</v>
      </c>
      <c r="J143" s="130" t="n">
        <f aca="false">IFERROR(SUMPRODUCT(MAX(('Tekken 8'!$N$11:$N$42=$B143)*'Tekken 8'!$H$11:$H$42)),0)</f>
        <v>0</v>
      </c>
      <c r="K143" s="130" t="n">
        <f aca="false">IFERROR(SUMPRODUCT(MAX(('Street Fighter 6'!$O$11:$O$42=$B143)*'Street Fighter 6'!$I$11:$I$42)),0)</f>
        <v>0</v>
      </c>
      <c r="L143" s="130" t="n">
        <f aca="false">IFERROR(SUMPRODUCT(MAX(('Fatal Fury CotW'!$L$11:$L$42=$B143)*'Fatal Fury CotW'!$F$11:$F$42)),0)</f>
        <v>0</v>
      </c>
      <c r="M143" s="130" t="n">
        <f aca="false">IFERROR(SUMPRODUCT(MAX((TFT!$N$11:$N$26=$B143)*TFT!$H$11:$H$26)),0)</f>
        <v>0</v>
      </c>
      <c r="N143" s="130" t="n">
        <f aca="false">IFERROR(SUMPRODUCT(MAX(('Rainbow Six'!$P$11:$P$32=$B143)*'Rainbow Six'!$J$11:$J$32)),0)</f>
        <v>0</v>
      </c>
      <c r="O143" s="130" t="n">
        <f aca="false">IFERROR(SUMPRODUCT(MAX((Warzone!$M$11:$M$42=$B143)*Warzone!$G$11:$G$42)),0)</f>
        <v>0</v>
      </c>
      <c r="P143" s="130" t="n">
        <f aca="false">IFERROR(SUMPRODUCT(MAX((Valorant!$N$11:$N$26=$B143)*Valorant!$H$11:$H$26)),0)</f>
        <v>0</v>
      </c>
      <c r="Q143" s="130" t="n">
        <f aca="false">IFERROR(SUMPRODUCT(MAX(('MLBB (MSC)'!$M$11:$M$35=$B143)*'MLBB (MSC)'!$G$11:$G$35)),0)</f>
        <v>0</v>
      </c>
      <c r="R143" s="130" t="n">
        <f aca="false">IFERROR(SUMPRODUCT(MAX(('Apex Legends'!$O$11:$O$50=$B143)*'Apex Legends'!$I$11:$I$50)),0)</f>
        <v>0</v>
      </c>
      <c r="S143" s="130" t="n">
        <f aca="false">IFERROR(SUMPRODUCT(MAX(('Honor of Kings'!$N$11:$N$30=$B143)*'Honor of Kings'!$H$11:$H$30)),0)</f>
        <v>0</v>
      </c>
      <c r="T143" s="130" t="n">
        <f aca="false">IFERROR(SUMPRODUCT(MAX((CrossFire!$L$11:$L$26=$B143)*CrossFire!$F$11:$F$26)),0)</f>
        <v>0</v>
      </c>
      <c r="U143" s="130" t="n">
        <f aca="false">IFERROR(SUMPRODUCT(MAX(('Free Fire'!$M$11:$M$34=$B143)*'Free Fire'!$G$11:$G$34)),0)</f>
        <v>0</v>
      </c>
      <c r="V143" s="130" t="n">
        <f aca="false">IFERROR(SUMPRODUCT(MAX(('EA FC 26'!$N$11:$N$46=$B143)*'EA FC 26'!$H$11:$H$46)),0)</f>
        <v>750</v>
      </c>
      <c r="W143" s="130" t="n">
        <f aca="false">IFERROR(SUMPRODUCT(MAX(('Black Ops 7'!$O$11:$O$26=$B143)*'Black Ops 7'!$J$11:$J$26)),0)</f>
        <v>0</v>
      </c>
      <c r="X143" s="130" t="n">
        <f aca="false">IFERROR(SUMPRODUCT(MAX(('Rocket League'!$P$11:$P$26=$B143)*'Rocket League'!$J$11:$J$26)),0)</f>
        <v>0</v>
      </c>
      <c r="Y143" s="130" t="n">
        <f aca="false">IFERROR(SUMPRODUCT(MAX(('Overwatch 2'!$L$11:$L$26=$B143)*'Overwatch 2'!$F$11:$F$26)),0)</f>
        <v>0</v>
      </c>
      <c r="Z143" s="130" t="n">
        <f aca="false">IFERROR(SUMPRODUCT(MAX((PUBG!$L$11:$L$34=$B143)*PUBG!$F$11:$F$34)),0)</f>
        <v>0</v>
      </c>
      <c r="AA143" s="130" t="n">
        <f aca="false">IFERROR(SUMPRODUCT(MAX(('MLBB Women'!$L$11:$L$26=$B143)*'MLBB Women'!$F$11:$F$26)),0)</f>
        <v>0</v>
      </c>
      <c r="AB143" s="130" t="n">
        <f aca="false">SUM(C143:AA143)</f>
        <v>750</v>
      </c>
      <c r="AC143" s="130" t="n">
        <v>750</v>
      </c>
      <c r="AD143" s="200" t="n">
        <f aca="false">AB143-AC143</f>
        <v>0</v>
      </c>
      <c r="AE143" s="82" t="str">
        <f aca="false">IF(AB143=0,"not started",IF(AD143=0,"reconciled",IF(AD143&gt;0,"CHECK NAMES","in progress")))</f>
        <v>reconciled</v>
      </c>
    </row>
    <row r="144" customFormat="false" ht="15" hidden="false" customHeight="true" outlineLevel="0" collapsed="false">
      <c r="B144" s="92" t="s">
        <v>956</v>
      </c>
      <c r="C144" s="130" t="n">
        <f aca="false">IFERROR(SUMIF(CS2!$L$11:$L$42,$B144,CS2!$F$11:$F$42),0)</f>
        <v>0</v>
      </c>
      <c r="D144" s="130" t="n">
        <f aca="false">IFERROR(SUMPRODUCT(MAX((Chess!$L$11:$L$32=$B144)*Chess!$F$11:$F$32)),0)</f>
        <v>0</v>
      </c>
      <c r="E144" s="130" t="n">
        <f aca="false">IFERROR(SUMPRODUCT(MAX((LoL!$L$11:$L$26=$B144)*LoL!$F$11:$F$26)),0)</f>
        <v>0</v>
      </c>
      <c r="F144" s="130" t="n">
        <f aca="false">IFERROR(SUMPRODUCT(MAX(('PUBG Mobile'!$L$11:$L$42=$B144)*'PUBG Mobile'!$F$11:$F$42)),0)</f>
        <v>0</v>
      </c>
      <c r="G144" s="130" t="n">
        <f aca="false">IFERROR(SUMPRODUCT(MAX(('Fortnite Reload'!$L$11:$L$50=$B144)*'Fortnite Reload'!$F$11:$F$50)),0)</f>
        <v>0</v>
      </c>
      <c r="H144" s="130" t="n">
        <f aca="false">IFERROR(SUMPRODUCT(MAX((Trackmania!$M$11:$M$42=$B144)*Trackmania!$G$11:$G$42)),0)</f>
        <v>0</v>
      </c>
      <c r="I144" s="130" t="n">
        <f aca="false">IFERROR(SUMPRODUCT(MAX(('Dota 2'!$N$11:$N$34=$B144)*'Dota 2'!$H$11:$H$34)),0)</f>
        <v>0</v>
      </c>
      <c r="J144" s="130" t="n">
        <f aca="false">IFERROR(SUMPRODUCT(MAX(('Tekken 8'!$N$11:$N$42=$B144)*'Tekken 8'!$H$11:$H$42)),0)</f>
        <v>0</v>
      </c>
      <c r="K144" s="130" t="n">
        <f aca="false">IFERROR(SUMPRODUCT(MAX(('Street Fighter 6'!$O$11:$O$42=$B144)*'Street Fighter 6'!$I$11:$I$42)),0)</f>
        <v>750</v>
      </c>
      <c r="L144" s="130" t="n">
        <f aca="false">IFERROR(SUMPRODUCT(MAX(('Fatal Fury CotW'!$L$11:$L$42=$B144)*'Fatal Fury CotW'!$F$11:$F$42)),0)</f>
        <v>0</v>
      </c>
      <c r="M144" s="130" t="n">
        <f aca="false">IFERROR(SUMPRODUCT(MAX((TFT!$N$11:$N$26=$B144)*TFT!$H$11:$H$26)),0)</f>
        <v>0</v>
      </c>
      <c r="N144" s="130" t="n">
        <f aca="false">IFERROR(SUMPRODUCT(MAX(('Rainbow Six'!$P$11:$P$32=$B144)*'Rainbow Six'!$J$11:$J$32)),0)</f>
        <v>0</v>
      </c>
      <c r="O144" s="130" t="n">
        <f aca="false">IFERROR(SUMPRODUCT(MAX((Warzone!$M$11:$M$42=$B144)*Warzone!$G$11:$G$42)),0)</f>
        <v>0</v>
      </c>
      <c r="P144" s="130" t="n">
        <f aca="false">IFERROR(SUMPRODUCT(MAX((Valorant!$N$11:$N$26=$B144)*Valorant!$H$11:$H$26)),0)</f>
        <v>0</v>
      </c>
      <c r="Q144" s="130" t="n">
        <f aca="false">IFERROR(SUMPRODUCT(MAX(('MLBB (MSC)'!$M$11:$M$35=$B144)*'MLBB (MSC)'!$G$11:$G$35)),0)</f>
        <v>0</v>
      </c>
      <c r="R144" s="130" t="n">
        <f aca="false">IFERROR(SUMPRODUCT(MAX(('Apex Legends'!$O$11:$O$50=$B144)*'Apex Legends'!$I$11:$I$50)),0)</f>
        <v>0</v>
      </c>
      <c r="S144" s="130" t="n">
        <f aca="false">IFERROR(SUMPRODUCT(MAX(('Honor of Kings'!$N$11:$N$30=$B144)*'Honor of Kings'!$H$11:$H$30)),0)</f>
        <v>0</v>
      </c>
      <c r="T144" s="130" t="n">
        <f aca="false">IFERROR(SUMPRODUCT(MAX((CrossFire!$L$11:$L$26=$B144)*CrossFire!$F$11:$F$26)),0)</f>
        <v>0</v>
      </c>
      <c r="U144" s="130" t="n">
        <f aca="false">IFERROR(SUMPRODUCT(MAX(('Free Fire'!$M$11:$M$34=$B144)*'Free Fire'!$G$11:$G$34)),0)</f>
        <v>0</v>
      </c>
      <c r="V144" s="130" t="n">
        <f aca="false">IFERROR(SUMPRODUCT(MAX(('EA FC 26'!$N$11:$N$46=$B144)*'EA FC 26'!$H$11:$H$46)),0)</f>
        <v>0</v>
      </c>
      <c r="W144" s="130" t="n">
        <f aca="false">IFERROR(SUMPRODUCT(MAX(('Black Ops 7'!$O$11:$O$26=$B144)*'Black Ops 7'!$J$11:$J$26)),0)</f>
        <v>0</v>
      </c>
      <c r="X144" s="130" t="n">
        <f aca="false">IFERROR(SUMPRODUCT(MAX(('Rocket League'!$P$11:$P$26=$B144)*'Rocket League'!$J$11:$J$26)),0)</f>
        <v>0</v>
      </c>
      <c r="Y144" s="130" t="n">
        <f aca="false">IFERROR(SUMPRODUCT(MAX(('Overwatch 2'!$L$11:$L$26=$B144)*'Overwatch 2'!$F$11:$F$26)),0)</f>
        <v>0</v>
      </c>
      <c r="Z144" s="130" t="n">
        <f aca="false">IFERROR(SUMPRODUCT(MAX((PUBG!$L$11:$L$34=$B144)*PUBG!$F$11:$F$34)),0)</f>
        <v>0</v>
      </c>
      <c r="AA144" s="130" t="n">
        <f aca="false">IFERROR(SUMPRODUCT(MAX(('MLBB Women'!$L$11:$L$26=$B144)*'MLBB Women'!$F$11:$F$26)),0)</f>
        <v>0</v>
      </c>
      <c r="AB144" s="130" t="n">
        <f aca="false">SUM(C144:AA144)</f>
        <v>750</v>
      </c>
      <c r="AC144" s="130" t="n">
        <v>750</v>
      </c>
      <c r="AD144" s="200" t="n">
        <f aca="false">AB144-AC144</f>
        <v>0</v>
      </c>
      <c r="AE144" s="82" t="str">
        <f aca="false">IF(AB144=0,"not started",IF(AD144=0,"reconciled",IF(AD144&gt;0,"CHECK NAMES","in progress")))</f>
        <v>reconciled</v>
      </c>
    </row>
    <row r="145" customFormat="false" ht="15" hidden="false" customHeight="true" outlineLevel="0" collapsed="false">
      <c r="B145" s="92" t="s">
        <v>1078</v>
      </c>
      <c r="C145" s="130" t="n">
        <f aca="false">IFERROR(SUMIF(CS2!$L$11:$L$42,$B145,CS2!$F$11:$F$42),0)</f>
        <v>0</v>
      </c>
      <c r="D145" s="130" t="n">
        <f aca="false">IFERROR(SUMPRODUCT(MAX((Chess!$L$11:$L$32=$B145)*Chess!$F$11:$F$32)),0)</f>
        <v>0</v>
      </c>
      <c r="E145" s="130" t="n">
        <f aca="false">IFERROR(SUMPRODUCT(MAX((LoL!$L$11:$L$26=$B145)*LoL!$F$11:$F$26)),0)</f>
        <v>0</v>
      </c>
      <c r="F145" s="130" t="n">
        <f aca="false">IFERROR(SUMPRODUCT(MAX(('PUBG Mobile'!$L$11:$L$42=$B145)*'PUBG Mobile'!$F$11:$F$42)),0)</f>
        <v>0</v>
      </c>
      <c r="G145" s="130" t="n">
        <f aca="false">IFERROR(SUMPRODUCT(MAX(('Fortnite Reload'!$L$11:$L$50=$B145)*'Fortnite Reload'!$F$11:$F$50)),0)</f>
        <v>0</v>
      </c>
      <c r="H145" s="130" t="n">
        <f aca="false">IFERROR(SUMPRODUCT(MAX((Trackmania!$M$11:$M$42=$B145)*Trackmania!$G$11:$G$42)),0)</f>
        <v>0</v>
      </c>
      <c r="I145" s="130" t="n">
        <f aca="false">IFERROR(SUMPRODUCT(MAX(('Dota 2'!$N$11:$N$34=$B145)*'Dota 2'!$H$11:$H$34)),0)</f>
        <v>0</v>
      </c>
      <c r="J145" s="130" t="n">
        <f aca="false">IFERROR(SUMPRODUCT(MAX(('Tekken 8'!$N$11:$N$42=$B145)*'Tekken 8'!$H$11:$H$42)),0)</f>
        <v>0</v>
      </c>
      <c r="K145" s="130" t="n">
        <f aca="false">IFERROR(SUMPRODUCT(MAX(('Street Fighter 6'!$O$11:$O$42=$B145)*'Street Fighter 6'!$I$11:$I$42)),0)</f>
        <v>0</v>
      </c>
      <c r="L145" s="130" t="n">
        <f aca="false">IFERROR(SUMPRODUCT(MAX(('Fatal Fury CotW'!$L$11:$L$42=$B145)*'Fatal Fury CotW'!$F$11:$F$42)),0)</f>
        <v>0</v>
      </c>
      <c r="M145" s="130" t="n">
        <f aca="false">IFERROR(SUMPRODUCT(MAX((TFT!$N$11:$N$26=$B145)*TFT!$H$11:$H$26)),0)</f>
        <v>0</v>
      </c>
      <c r="N145" s="130" t="n">
        <f aca="false">IFERROR(SUMPRODUCT(MAX(('Rainbow Six'!$P$11:$P$32=$B145)*'Rainbow Six'!$J$11:$J$32)),0)</f>
        <v>500</v>
      </c>
      <c r="O145" s="130" t="n">
        <f aca="false">IFERROR(SUMPRODUCT(MAX((Warzone!$M$11:$M$42=$B145)*Warzone!$G$11:$G$42)),0)</f>
        <v>0</v>
      </c>
      <c r="P145" s="130" t="n">
        <f aca="false">IFERROR(SUMPRODUCT(MAX((Valorant!$N$11:$N$26=$B145)*Valorant!$H$11:$H$26)),0)</f>
        <v>0</v>
      </c>
      <c r="Q145" s="130" t="n">
        <f aca="false">IFERROR(SUMPRODUCT(MAX(('MLBB (MSC)'!$M$11:$M$35=$B145)*'MLBB (MSC)'!$G$11:$G$35)),0)</f>
        <v>0</v>
      </c>
      <c r="R145" s="130" t="n">
        <f aca="false">IFERROR(SUMPRODUCT(MAX(('Apex Legends'!$O$11:$O$50=$B145)*'Apex Legends'!$I$11:$I$50)),0)</f>
        <v>0</v>
      </c>
      <c r="S145" s="130" t="n">
        <f aca="false">IFERROR(SUMPRODUCT(MAX(('Honor of Kings'!$N$11:$N$30=$B145)*'Honor of Kings'!$H$11:$H$30)),0)</f>
        <v>0</v>
      </c>
      <c r="T145" s="130" t="n">
        <f aca="false">IFERROR(SUMPRODUCT(MAX((CrossFire!$L$11:$L$26=$B145)*CrossFire!$F$11:$F$26)),0)</f>
        <v>0</v>
      </c>
      <c r="U145" s="130" t="n">
        <f aca="false">IFERROR(SUMPRODUCT(MAX(('Free Fire'!$M$11:$M$34=$B145)*'Free Fire'!$G$11:$G$34)),0)</f>
        <v>0</v>
      </c>
      <c r="V145" s="130" t="n">
        <f aca="false">IFERROR(SUMPRODUCT(MAX(('EA FC 26'!$N$11:$N$46=$B145)*'EA FC 26'!$H$11:$H$46)),0)</f>
        <v>0</v>
      </c>
      <c r="W145" s="130" t="n">
        <f aca="false">IFERROR(SUMPRODUCT(MAX(('Black Ops 7'!$O$11:$O$26=$B145)*'Black Ops 7'!$J$11:$J$26)),0)</f>
        <v>0</v>
      </c>
      <c r="X145" s="130" t="n">
        <f aca="false">IFERROR(SUMPRODUCT(MAX(('Rocket League'!$P$11:$P$26=$B145)*'Rocket League'!$J$11:$J$26)),0)</f>
        <v>0</v>
      </c>
      <c r="Y145" s="130" t="n">
        <f aca="false">IFERROR(SUMPRODUCT(MAX(('Overwatch 2'!$L$11:$L$26=$B145)*'Overwatch 2'!$F$11:$F$26)),0)</f>
        <v>0</v>
      </c>
      <c r="Z145" s="130" t="n">
        <f aca="false">IFERROR(SUMPRODUCT(MAX((PUBG!$L$11:$L$34=$B145)*PUBG!$F$11:$F$34)),0)</f>
        <v>0</v>
      </c>
      <c r="AA145" s="130" t="n">
        <f aca="false">IFERROR(SUMPRODUCT(MAX(('MLBB Women'!$L$11:$L$26=$B145)*'MLBB Women'!$F$11:$F$26)),0)</f>
        <v>0</v>
      </c>
      <c r="AB145" s="130" t="n">
        <f aca="false">SUM(C145:AA145)</f>
        <v>500</v>
      </c>
      <c r="AC145" s="130" t="n">
        <v>500</v>
      </c>
      <c r="AD145" s="200" t="n">
        <f aca="false">AB145-AC145</f>
        <v>0</v>
      </c>
      <c r="AE145" s="82" t="str">
        <f aca="false">IF(AB145=0,"not started",IF(AD145=0,"reconciled",IF(AD145&gt;0,"CHECK NAMES","in progress")))</f>
        <v>reconciled</v>
      </c>
    </row>
    <row r="146" customFormat="false" ht="15" hidden="false" customHeight="true" outlineLevel="0" collapsed="false">
      <c r="B146" s="92" t="s">
        <v>1650</v>
      </c>
      <c r="C146" s="130" t="n">
        <f aca="false">IFERROR(SUMIF(CS2!$L$11:$L$42,$B146,CS2!$F$11:$F$42),0)</f>
        <v>0</v>
      </c>
      <c r="D146" s="130" t="n">
        <f aca="false">IFERROR(SUMPRODUCT(MAX((Chess!$L$11:$L$32=$B146)*Chess!$F$11:$F$32)),0)</f>
        <v>0</v>
      </c>
      <c r="E146" s="130" t="n">
        <f aca="false">IFERROR(SUMPRODUCT(MAX((LoL!$L$11:$L$26=$B146)*LoL!$F$11:$F$26)),0)</f>
        <v>0</v>
      </c>
      <c r="F146" s="130" t="n">
        <f aca="false">IFERROR(SUMPRODUCT(MAX(('PUBG Mobile'!$L$11:$L$42=$B146)*'PUBG Mobile'!$F$11:$F$42)),0)</f>
        <v>0</v>
      </c>
      <c r="G146" s="130" t="n">
        <f aca="false">IFERROR(SUMPRODUCT(MAX(('Fortnite Reload'!$L$11:$L$50=$B146)*'Fortnite Reload'!$F$11:$F$50)),0)</f>
        <v>0</v>
      </c>
      <c r="H146" s="130" t="n">
        <f aca="false">IFERROR(SUMPRODUCT(MAX((Trackmania!$M$11:$M$42=$B146)*Trackmania!$G$11:$G$42)),0)</f>
        <v>0</v>
      </c>
      <c r="I146" s="130" t="n">
        <f aca="false">IFERROR(SUMPRODUCT(MAX(('Dota 2'!$N$11:$N$34=$B146)*'Dota 2'!$H$11:$H$34)),0)</f>
        <v>0</v>
      </c>
      <c r="J146" s="130" t="n">
        <f aca="false">IFERROR(SUMPRODUCT(MAX(('Tekken 8'!$N$11:$N$42=$B146)*'Tekken 8'!$H$11:$H$42)),0)</f>
        <v>0</v>
      </c>
      <c r="K146" s="130" t="n">
        <f aca="false">IFERROR(SUMPRODUCT(MAX(('Street Fighter 6'!$O$11:$O$42=$B146)*'Street Fighter 6'!$I$11:$I$42)),0)</f>
        <v>0</v>
      </c>
      <c r="L146" s="130" t="n">
        <f aca="false">IFERROR(SUMPRODUCT(MAX(('Fatal Fury CotW'!$L$11:$L$42=$B146)*'Fatal Fury CotW'!$F$11:$F$42)),0)</f>
        <v>0</v>
      </c>
      <c r="M146" s="130" t="n">
        <f aca="false">IFERROR(SUMPRODUCT(MAX((TFT!$N$11:$N$26=$B146)*TFT!$H$11:$H$26)),0)</f>
        <v>0</v>
      </c>
      <c r="N146" s="130" t="n">
        <f aca="false">IFERROR(SUMPRODUCT(MAX(('Rainbow Six'!$P$11:$P$32=$B146)*'Rainbow Six'!$J$11:$J$32)),0)</f>
        <v>0</v>
      </c>
      <c r="O146" s="130" t="n">
        <f aca="false">IFERROR(SUMPRODUCT(MAX((Warzone!$M$11:$M$42=$B146)*Warzone!$G$11:$G$42)),0)</f>
        <v>0</v>
      </c>
      <c r="P146" s="130" t="n">
        <f aca="false">IFERROR(SUMPRODUCT(MAX((Valorant!$N$11:$N$26=$B146)*Valorant!$H$11:$H$26)),0)</f>
        <v>0</v>
      </c>
      <c r="Q146" s="130" t="n">
        <f aca="false">IFERROR(SUMPRODUCT(MAX(('MLBB (MSC)'!$M$11:$M$35=$B146)*'MLBB (MSC)'!$G$11:$G$35)),0)</f>
        <v>0</v>
      </c>
      <c r="R146" s="130" t="n">
        <f aca="false">IFERROR(SUMPRODUCT(MAX(('Apex Legends'!$O$11:$O$50=$B146)*'Apex Legends'!$I$11:$I$50)),0)</f>
        <v>0</v>
      </c>
      <c r="S146" s="130" t="n">
        <f aca="false">IFERROR(SUMPRODUCT(MAX(('Honor of Kings'!$N$11:$N$30=$B146)*'Honor of Kings'!$H$11:$H$30)),0)</f>
        <v>0</v>
      </c>
      <c r="T146" s="130" t="n">
        <f aca="false">IFERROR(SUMPRODUCT(MAX((CrossFire!$L$11:$L$26=$B146)*CrossFire!$F$11:$F$26)),0)</f>
        <v>0</v>
      </c>
      <c r="U146" s="130" t="n">
        <f aca="false">IFERROR(SUMPRODUCT(MAX(('Free Fire'!$M$11:$M$34=$B146)*'Free Fire'!$G$11:$G$34)),0)</f>
        <v>0</v>
      </c>
      <c r="V146" s="130" t="n">
        <f aca="false">IFERROR(SUMPRODUCT(MAX(('EA FC 26'!$N$11:$N$46=$B146)*'EA FC 26'!$H$11:$H$46)),0)</f>
        <v>0</v>
      </c>
      <c r="W146" s="130" t="n">
        <f aca="false">IFERROR(SUMPRODUCT(MAX(('Black Ops 7'!$O$11:$O$26=$B146)*'Black Ops 7'!$J$11:$J$26)),0)</f>
        <v>0</v>
      </c>
      <c r="X146" s="130" t="n">
        <f aca="false">IFERROR(SUMPRODUCT(MAX(('Rocket League'!$P$11:$P$26=$B146)*'Rocket League'!$J$11:$J$26)),0)</f>
        <v>0</v>
      </c>
      <c r="Y146" s="130" t="n">
        <f aca="false">IFERROR(SUMPRODUCT(MAX(('Overwatch 2'!$L$11:$L$26=$B146)*'Overwatch 2'!$F$11:$F$26)),0)</f>
        <v>0</v>
      </c>
      <c r="Z146" s="130" t="n">
        <f aca="false">IFERROR(SUMPRODUCT(MAX((PUBG!$L$11:$L$34=$B146)*PUBG!$F$11:$F$34)),0)</f>
        <v>0</v>
      </c>
      <c r="AA146" s="130" t="n">
        <f aca="false">IFERROR(SUMPRODUCT(MAX(('MLBB Women'!$L$11:$L$26=$B146)*'MLBB Women'!$F$11:$F$26)),0)</f>
        <v>500</v>
      </c>
      <c r="AB146" s="130" t="n">
        <f aca="false">SUM(C146:AA146)</f>
        <v>500</v>
      </c>
      <c r="AC146" s="130" t="n">
        <v>500</v>
      </c>
      <c r="AD146" s="200" t="n">
        <f aca="false">AB146-AC146</f>
        <v>0</v>
      </c>
      <c r="AE146" s="82" t="str">
        <f aca="false">IF(AB146=0,"not started",IF(AD146=0,"reconciled",IF(AD146&gt;0,"CHECK NAMES","in progress")))</f>
        <v>reconciled</v>
      </c>
    </row>
    <row r="147" customFormat="false" ht="15" hidden="false" customHeight="true" outlineLevel="0" collapsed="false">
      <c r="B147" s="92" t="s">
        <v>429</v>
      </c>
      <c r="C147" s="130" t="n">
        <f aca="false">IFERROR(SUMIF(CS2!$L$11:$L$42,$B147,CS2!$F$11:$F$42),0)</f>
        <v>500</v>
      </c>
      <c r="D147" s="130" t="n">
        <f aca="false">IFERROR(SUMPRODUCT(MAX((Chess!$L$11:$L$32=$B147)*Chess!$F$11:$F$32)),0)</f>
        <v>0</v>
      </c>
      <c r="E147" s="130" t="n">
        <f aca="false">IFERROR(SUMPRODUCT(MAX((LoL!$L$11:$L$26=$B147)*LoL!$F$11:$F$26)),0)</f>
        <v>0</v>
      </c>
      <c r="F147" s="130" t="n">
        <f aca="false">IFERROR(SUMPRODUCT(MAX(('PUBG Mobile'!$L$11:$L$42=$B147)*'PUBG Mobile'!$F$11:$F$42)),0)</f>
        <v>0</v>
      </c>
      <c r="G147" s="130" t="n">
        <f aca="false">IFERROR(SUMPRODUCT(MAX(('Fortnite Reload'!$L$11:$L$50=$B147)*'Fortnite Reload'!$F$11:$F$50)),0)</f>
        <v>0</v>
      </c>
      <c r="H147" s="130" t="n">
        <f aca="false">IFERROR(SUMPRODUCT(MAX((Trackmania!$M$11:$M$42=$B147)*Trackmania!$G$11:$G$42)),0)</f>
        <v>0</v>
      </c>
      <c r="I147" s="130" t="n">
        <f aca="false">IFERROR(SUMPRODUCT(MAX(('Dota 2'!$N$11:$N$34=$B147)*'Dota 2'!$H$11:$H$34)),0)</f>
        <v>0</v>
      </c>
      <c r="J147" s="130" t="n">
        <f aca="false">IFERROR(SUMPRODUCT(MAX(('Tekken 8'!$N$11:$N$42=$B147)*'Tekken 8'!$H$11:$H$42)),0)</f>
        <v>0</v>
      </c>
      <c r="K147" s="130" t="n">
        <f aca="false">IFERROR(SUMPRODUCT(MAX(('Street Fighter 6'!$O$11:$O$42=$B147)*'Street Fighter 6'!$I$11:$I$42)),0)</f>
        <v>0</v>
      </c>
      <c r="L147" s="130" t="n">
        <f aca="false">IFERROR(SUMPRODUCT(MAX(('Fatal Fury CotW'!$L$11:$L$42=$B147)*'Fatal Fury CotW'!$F$11:$F$42)),0)</f>
        <v>0</v>
      </c>
      <c r="M147" s="130" t="n">
        <f aca="false">IFERROR(SUMPRODUCT(MAX((TFT!$N$11:$N$26=$B147)*TFT!$H$11:$H$26)),0)</f>
        <v>0</v>
      </c>
      <c r="N147" s="130" t="n">
        <f aca="false">IFERROR(SUMPRODUCT(MAX(('Rainbow Six'!$P$11:$P$32=$B147)*'Rainbow Six'!$J$11:$J$32)),0)</f>
        <v>0</v>
      </c>
      <c r="O147" s="130" t="n">
        <f aca="false">IFERROR(SUMPRODUCT(MAX((Warzone!$M$11:$M$42=$B147)*Warzone!$G$11:$G$42)),0)</f>
        <v>0</v>
      </c>
      <c r="P147" s="130" t="n">
        <f aca="false">IFERROR(SUMPRODUCT(MAX((Valorant!$N$11:$N$26=$B147)*Valorant!$H$11:$H$26)),0)</f>
        <v>0</v>
      </c>
      <c r="Q147" s="130" t="n">
        <f aca="false">IFERROR(SUMPRODUCT(MAX(('MLBB (MSC)'!$M$11:$M$35=$B147)*'MLBB (MSC)'!$G$11:$G$35)),0)</f>
        <v>0</v>
      </c>
      <c r="R147" s="130" t="n">
        <f aca="false">IFERROR(SUMPRODUCT(MAX(('Apex Legends'!$O$11:$O$50=$B147)*'Apex Legends'!$I$11:$I$50)),0)</f>
        <v>0</v>
      </c>
      <c r="S147" s="130" t="n">
        <f aca="false">IFERROR(SUMPRODUCT(MAX(('Honor of Kings'!$N$11:$N$30=$B147)*'Honor of Kings'!$H$11:$H$30)),0)</f>
        <v>0</v>
      </c>
      <c r="T147" s="130" t="n">
        <f aca="false">IFERROR(SUMPRODUCT(MAX((CrossFire!$L$11:$L$26=$B147)*CrossFire!$F$11:$F$26)),0)</f>
        <v>0</v>
      </c>
      <c r="U147" s="130" t="n">
        <f aca="false">IFERROR(SUMPRODUCT(MAX(('Free Fire'!$M$11:$M$34=$B147)*'Free Fire'!$G$11:$G$34)),0)</f>
        <v>0</v>
      </c>
      <c r="V147" s="130" t="n">
        <f aca="false">IFERROR(SUMPRODUCT(MAX(('EA FC 26'!$N$11:$N$46=$B147)*'EA FC 26'!$H$11:$H$46)),0)</f>
        <v>0</v>
      </c>
      <c r="W147" s="130" t="n">
        <f aca="false">IFERROR(SUMPRODUCT(MAX(('Black Ops 7'!$O$11:$O$26=$B147)*'Black Ops 7'!$J$11:$J$26)),0)</f>
        <v>0</v>
      </c>
      <c r="X147" s="130" t="n">
        <f aca="false">IFERROR(SUMPRODUCT(MAX(('Rocket League'!$P$11:$P$26=$B147)*'Rocket League'!$J$11:$J$26)),0)</f>
        <v>0</v>
      </c>
      <c r="Y147" s="130" t="n">
        <f aca="false">IFERROR(SUMPRODUCT(MAX(('Overwatch 2'!$L$11:$L$26=$B147)*'Overwatch 2'!$F$11:$F$26)),0)</f>
        <v>0</v>
      </c>
      <c r="Z147" s="130" t="n">
        <f aca="false">IFERROR(SUMPRODUCT(MAX((PUBG!$L$11:$L$34=$B147)*PUBG!$F$11:$F$34)),0)</f>
        <v>0</v>
      </c>
      <c r="AA147" s="130" t="n">
        <f aca="false">IFERROR(SUMPRODUCT(MAX(('MLBB Women'!$L$11:$L$26=$B147)*'MLBB Women'!$F$11:$F$26)),0)</f>
        <v>0</v>
      </c>
      <c r="AB147" s="130" t="n">
        <f aca="false">SUM(C147:AA147)</f>
        <v>500</v>
      </c>
      <c r="AC147" s="130" t="n">
        <v>500</v>
      </c>
      <c r="AD147" s="200" t="n">
        <f aca="false">AB147-AC147</f>
        <v>0</v>
      </c>
      <c r="AE147" s="82" t="str">
        <f aca="false">IF(AB147=0,"not started",IF(AD147=0,"reconciled",IF(AD147&gt;0,"CHECK NAMES","in progress")))</f>
        <v>reconciled</v>
      </c>
    </row>
    <row r="148" customFormat="false" ht="15" hidden="false" customHeight="true" outlineLevel="0" collapsed="false">
      <c r="B148" s="92" t="s">
        <v>1161</v>
      </c>
      <c r="C148" s="130" t="n">
        <f aca="false">IFERROR(SUMIF(CS2!$L$11:$L$42,$B148,CS2!$F$11:$F$42),0)</f>
        <v>0</v>
      </c>
      <c r="D148" s="130" t="n">
        <f aca="false">IFERROR(SUMPRODUCT(MAX((Chess!$L$11:$L$32=$B148)*Chess!$F$11:$F$32)),0)</f>
        <v>0</v>
      </c>
      <c r="E148" s="130" t="n">
        <f aca="false">IFERROR(SUMPRODUCT(MAX((LoL!$L$11:$L$26=$B148)*LoL!$F$11:$F$26)),0)</f>
        <v>0</v>
      </c>
      <c r="F148" s="130" t="n">
        <f aca="false">IFERROR(SUMPRODUCT(MAX(('PUBG Mobile'!$L$11:$L$42=$B148)*'PUBG Mobile'!$F$11:$F$42)),0)</f>
        <v>0</v>
      </c>
      <c r="G148" s="130" t="n">
        <f aca="false">IFERROR(SUMPRODUCT(MAX(('Fortnite Reload'!$L$11:$L$50=$B148)*'Fortnite Reload'!$F$11:$F$50)),0)</f>
        <v>0</v>
      </c>
      <c r="H148" s="130" t="n">
        <f aca="false">IFERROR(SUMPRODUCT(MAX((Trackmania!$M$11:$M$42=$B148)*Trackmania!$G$11:$G$42)),0)</f>
        <v>0</v>
      </c>
      <c r="I148" s="130" t="n">
        <f aca="false">IFERROR(SUMPRODUCT(MAX(('Dota 2'!$N$11:$N$34=$B148)*'Dota 2'!$H$11:$H$34)),0)</f>
        <v>0</v>
      </c>
      <c r="J148" s="130" t="n">
        <f aca="false">IFERROR(SUMPRODUCT(MAX(('Tekken 8'!$N$11:$N$42=$B148)*'Tekken 8'!$H$11:$H$42)),0)</f>
        <v>0</v>
      </c>
      <c r="K148" s="130" t="n">
        <f aca="false">IFERROR(SUMPRODUCT(MAX(('Street Fighter 6'!$O$11:$O$42=$B148)*'Street Fighter 6'!$I$11:$I$42)),0)</f>
        <v>0</v>
      </c>
      <c r="L148" s="130" t="n">
        <f aca="false">IFERROR(SUMPRODUCT(MAX(('Fatal Fury CotW'!$L$11:$L$42=$B148)*'Fatal Fury CotW'!$F$11:$F$42)),0)</f>
        <v>0</v>
      </c>
      <c r="M148" s="130" t="n">
        <f aca="false">IFERROR(SUMPRODUCT(MAX((TFT!$N$11:$N$26=$B148)*TFT!$H$11:$H$26)),0)</f>
        <v>0</v>
      </c>
      <c r="N148" s="130" t="n">
        <f aca="false">IFERROR(SUMPRODUCT(MAX(('Rainbow Six'!$P$11:$P$32=$B148)*'Rainbow Six'!$J$11:$J$32)),0)</f>
        <v>0</v>
      </c>
      <c r="O148" s="130" t="n">
        <f aca="false">IFERROR(SUMPRODUCT(MAX((Warzone!$M$11:$M$42=$B148)*Warzone!$G$11:$G$42)),0)</f>
        <v>0</v>
      </c>
      <c r="P148" s="130" t="n">
        <f aca="false">IFERROR(SUMPRODUCT(MAX((Valorant!$N$11:$N$26=$B148)*Valorant!$H$11:$H$26)),0)</f>
        <v>300</v>
      </c>
      <c r="Q148" s="130" t="n">
        <f aca="false">IFERROR(SUMPRODUCT(MAX(('MLBB (MSC)'!$M$11:$M$35=$B148)*'MLBB (MSC)'!$G$11:$G$35)),0)</f>
        <v>0</v>
      </c>
      <c r="R148" s="130" t="n">
        <f aca="false">IFERROR(SUMPRODUCT(MAX(('Apex Legends'!$O$11:$O$50=$B148)*'Apex Legends'!$I$11:$I$50)),0)</f>
        <v>0</v>
      </c>
      <c r="S148" s="130" t="n">
        <f aca="false">IFERROR(SUMPRODUCT(MAX(('Honor of Kings'!$N$11:$N$30=$B148)*'Honor of Kings'!$H$11:$H$30)),0)</f>
        <v>0</v>
      </c>
      <c r="T148" s="130" t="n">
        <f aca="false">IFERROR(SUMPRODUCT(MAX((CrossFire!$L$11:$L$26=$B148)*CrossFire!$F$11:$F$26)),0)</f>
        <v>0</v>
      </c>
      <c r="U148" s="130" t="n">
        <f aca="false">IFERROR(SUMPRODUCT(MAX(('Free Fire'!$M$11:$M$34=$B148)*'Free Fire'!$G$11:$G$34)),0)</f>
        <v>0</v>
      </c>
      <c r="V148" s="130" t="n">
        <f aca="false">IFERROR(SUMPRODUCT(MAX(('EA FC 26'!$N$11:$N$46=$B148)*'EA FC 26'!$H$11:$H$46)),0)</f>
        <v>0</v>
      </c>
      <c r="W148" s="130" t="n">
        <f aca="false">IFERROR(SUMPRODUCT(MAX(('Black Ops 7'!$O$11:$O$26=$B148)*'Black Ops 7'!$J$11:$J$26)),0)</f>
        <v>0</v>
      </c>
      <c r="X148" s="130" t="n">
        <f aca="false">IFERROR(SUMPRODUCT(MAX(('Rocket League'!$P$11:$P$26=$B148)*'Rocket League'!$J$11:$J$26)),0)</f>
        <v>0</v>
      </c>
      <c r="Y148" s="130" t="n">
        <f aca="false">IFERROR(SUMPRODUCT(MAX(('Overwatch 2'!$L$11:$L$26=$B148)*'Overwatch 2'!$F$11:$F$26)),0)</f>
        <v>0</v>
      </c>
      <c r="Z148" s="130" t="n">
        <f aca="false">IFERROR(SUMPRODUCT(MAX((PUBG!$L$11:$L$34=$B148)*PUBG!$F$11:$F$34)),0)</f>
        <v>0</v>
      </c>
      <c r="AA148" s="130" t="n">
        <f aca="false">IFERROR(SUMPRODUCT(MAX(('MLBB Women'!$L$11:$L$26=$B148)*'MLBB Women'!$F$11:$F$26)),0)</f>
        <v>0</v>
      </c>
      <c r="AB148" s="130" t="n">
        <f aca="false">SUM(C148:AA148)</f>
        <v>300</v>
      </c>
      <c r="AC148" s="130" t="n">
        <v>300</v>
      </c>
      <c r="AD148" s="200" t="n">
        <f aca="false">AB148-AC148</f>
        <v>0</v>
      </c>
      <c r="AE148" s="82" t="str">
        <f aca="false">IF(AB148=0,"not started",IF(AD148=0,"reconciled",IF(AD148&gt;0,"CHECK NAMES","in progress")))</f>
        <v>reconciled</v>
      </c>
    </row>
    <row r="149" customFormat="false" ht="15" hidden="false" customHeight="true" outlineLevel="0" collapsed="false">
      <c r="B149" s="92" t="s">
        <v>1416</v>
      </c>
      <c r="C149" s="130" t="n">
        <f aca="false">IFERROR(SUMIF(CS2!$L$11:$L$42,$B149,CS2!$F$11:$F$42),0)</f>
        <v>0</v>
      </c>
      <c r="D149" s="130" t="n">
        <f aca="false">IFERROR(SUMPRODUCT(MAX((Chess!$L$11:$L$32=$B149)*Chess!$F$11:$F$32)),0)</f>
        <v>0</v>
      </c>
      <c r="E149" s="130" t="n">
        <f aca="false">IFERROR(SUMPRODUCT(MAX((LoL!$L$11:$L$26=$B149)*LoL!$F$11:$F$26)),0)</f>
        <v>0</v>
      </c>
      <c r="F149" s="130" t="n">
        <f aca="false">IFERROR(SUMPRODUCT(MAX(('PUBG Mobile'!$L$11:$L$42=$B149)*'PUBG Mobile'!$F$11:$F$42)),0)</f>
        <v>0</v>
      </c>
      <c r="G149" s="130" t="n">
        <f aca="false">IFERROR(SUMPRODUCT(MAX(('Fortnite Reload'!$L$11:$L$50=$B149)*'Fortnite Reload'!$F$11:$F$50)),0)</f>
        <v>0</v>
      </c>
      <c r="H149" s="130" t="n">
        <f aca="false">IFERROR(SUMPRODUCT(MAX((Trackmania!$M$11:$M$42=$B149)*Trackmania!$G$11:$G$42)),0)</f>
        <v>0</v>
      </c>
      <c r="I149" s="130" t="n">
        <f aca="false">IFERROR(SUMPRODUCT(MAX(('Dota 2'!$N$11:$N$34=$B149)*'Dota 2'!$H$11:$H$34)),0)</f>
        <v>0</v>
      </c>
      <c r="J149" s="130" t="n">
        <f aca="false">IFERROR(SUMPRODUCT(MAX(('Tekken 8'!$N$11:$N$42=$B149)*'Tekken 8'!$H$11:$H$42)),0)</f>
        <v>0</v>
      </c>
      <c r="K149" s="130" t="n">
        <f aca="false">IFERROR(SUMPRODUCT(MAX(('Street Fighter 6'!$O$11:$O$42=$B149)*'Street Fighter 6'!$I$11:$I$42)),0)</f>
        <v>0</v>
      </c>
      <c r="L149" s="130" t="n">
        <f aca="false">IFERROR(SUMPRODUCT(MAX(('Fatal Fury CotW'!$L$11:$L$42=$B149)*'Fatal Fury CotW'!$F$11:$F$42)),0)</f>
        <v>0</v>
      </c>
      <c r="M149" s="130" t="n">
        <f aca="false">IFERROR(SUMPRODUCT(MAX((TFT!$N$11:$N$26=$B149)*TFT!$H$11:$H$26)),0)</f>
        <v>0</v>
      </c>
      <c r="N149" s="130" t="n">
        <f aca="false">IFERROR(SUMPRODUCT(MAX(('Rainbow Six'!$P$11:$P$32=$B149)*'Rainbow Six'!$J$11:$J$32)),0)</f>
        <v>0</v>
      </c>
      <c r="O149" s="130" t="n">
        <f aca="false">IFERROR(SUMPRODUCT(MAX((Warzone!$M$11:$M$42=$B149)*Warzone!$G$11:$G$42)),0)</f>
        <v>0</v>
      </c>
      <c r="P149" s="130" t="n">
        <f aca="false">IFERROR(SUMPRODUCT(MAX((Valorant!$N$11:$N$26=$B149)*Valorant!$H$11:$H$26)),0)</f>
        <v>0</v>
      </c>
      <c r="Q149" s="130" t="n">
        <f aca="false">IFERROR(SUMPRODUCT(MAX(('MLBB (MSC)'!$M$11:$M$35=$B149)*'MLBB (MSC)'!$G$11:$G$35)),0)</f>
        <v>0</v>
      </c>
      <c r="R149" s="130" t="n">
        <f aca="false">IFERROR(SUMPRODUCT(MAX(('Apex Legends'!$O$11:$O$50=$B149)*'Apex Legends'!$I$11:$I$50)),0)</f>
        <v>0</v>
      </c>
      <c r="S149" s="130" t="n">
        <f aca="false">IFERROR(SUMPRODUCT(MAX(('Honor of Kings'!$N$11:$N$30=$B149)*'Honor of Kings'!$H$11:$H$30)),0)</f>
        <v>0</v>
      </c>
      <c r="T149" s="130" t="n">
        <f aca="false">IFERROR(SUMPRODUCT(MAX((CrossFire!$L$11:$L$26=$B149)*CrossFire!$F$11:$F$26)),0)</f>
        <v>0</v>
      </c>
      <c r="U149" s="130" t="n">
        <f aca="false">IFERROR(SUMPRODUCT(MAX(('Free Fire'!$M$11:$M$34=$B149)*'Free Fire'!$G$11:$G$34)),0)</f>
        <v>0</v>
      </c>
      <c r="V149" s="130" t="n">
        <f aca="false">IFERROR(SUMPRODUCT(MAX(('EA FC 26'!$N$11:$N$46=$B149)*'EA FC 26'!$H$11:$H$46)),0)</f>
        <v>300</v>
      </c>
      <c r="W149" s="130" t="n">
        <f aca="false">IFERROR(SUMPRODUCT(MAX(('Black Ops 7'!$O$11:$O$26=$B149)*'Black Ops 7'!$J$11:$J$26)),0)</f>
        <v>0</v>
      </c>
      <c r="X149" s="130" t="n">
        <f aca="false">IFERROR(SUMPRODUCT(MAX(('Rocket League'!$P$11:$P$26=$B149)*'Rocket League'!$J$11:$J$26)),0)</f>
        <v>0</v>
      </c>
      <c r="Y149" s="130" t="n">
        <f aca="false">IFERROR(SUMPRODUCT(MAX(('Overwatch 2'!$L$11:$L$26=$B149)*'Overwatch 2'!$F$11:$F$26)),0)</f>
        <v>0</v>
      </c>
      <c r="Z149" s="130" t="n">
        <f aca="false">IFERROR(SUMPRODUCT(MAX((PUBG!$L$11:$L$34=$B149)*PUBG!$F$11:$F$34)),0)</f>
        <v>0</v>
      </c>
      <c r="AA149" s="130" t="n">
        <f aca="false">IFERROR(SUMPRODUCT(MAX(('MLBB Women'!$L$11:$L$26=$B149)*'MLBB Women'!$F$11:$F$26)),0)</f>
        <v>0</v>
      </c>
      <c r="AB149" s="130" t="n">
        <f aca="false">SUM(C149:AA149)</f>
        <v>300</v>
      </c>
      <c r="AC149" s="130" t="n">
        <v>300</v>
      </c>
      <c r="AD149" s="200" t="n">
        <f aca="false">AB149-AC149</f>
        <v>0</v>
      </c>
      <c r="AE149" s="82" t="str">
        <f aca="false">IF(AB149=0,"not started",IF(AD149=0,"reconciled",IF(AD149&gt;0,"CHECK NAMES","in progress")))</f>
        <v>reconciled</v>
      </c>
    </row>
    <row r="150" customFormat="false" ht="15" hidden="false" customHeight="true" outlineLevel="0" collapsed="false">
      <c r="B150" s="92" t="s">
        <v>852</v>
      </c>
      <c r="C150" s="130" t="n">
        <f aca="false">IFERROR(SUMIF(CS2!$L$11:$L$42,$B150,CS2!$F$11:$F$42),0)</f>
        <v>0</v>
      </c>
      <c r="D150" s="130" t="n">
        <f aca="false">IFERROR(SUMPRODUCT(MAX((Chess!$L$11:$L$32=$B150)*Chess!$F$11:$F$32)),0)</f>
        <v>0</v>
      </c>
      <c r="E150" s="130" t="n">
        <f aca="false">IFERROR(SUMPRODUCT(MAX((LoL!$L$11:$L$26=$B150)*LoL!$F$11:$F$26)),0)</f>
        <v>0</v>
      </c>
      <c r="F150" s="130" t="n">
        <f aca="false">IFERROR(SUMPRODUCT(MAX(('PUBG Mobile'!$L$11:$L$42=$B150)*'PUBG Mobile'!$F$11:$F$42)),0)</f>
        <v>0</v>
      </c>
      <c r="G150" s="130" t="n">
        <f aca="false">IFERROR(SUMPRODUCT(MAX(('Fortnite Reload'!$L$11:$L$50=$B150)*'Fortnite Reload'!$F$11:$F$50)),0)</f>
        <v>0</v>
      </c>
      <c r="H150" s="130" t="n">
        <f aca="false">IFERROR(SUMPRODUCT(MAX((Trackmania!$M$11:$M$42=$B150)*Trackmania!$G$11:$G$42)),0)</f>
        <v>0</v>
      </c>
      <c r="I150" s="130" t="n">
        <f aca="false">IFERROR(SUMPRODUCT(MAX(('Dota 2'!$N$11:$N$34=$B150)*'Dota 2'!$H$11:$H$34)),0)</f>
        <v>300</v>
      </c>
      <c r="J150" s="130" t="n">
        <f aca="false">IFERROR(SUMPRODUCT(MAX(('Tekken 8'!$N$11:$N$42=$B150)*'Tekken 8'!$H$11:$H$42)),0)</f>
        <v>0</v>
      </c>
      <c r="K150" s="130" t="n">
        <f aca="false">IFERROR(SUMPRODUCT(MAX(('Street Fighter 6'!$O$11:$O$42=$B150)*'Street Fighter 6'!$I$11:$I$42)),0)</f>
        <v>0</v>
      </c>
      <c r="L150" s="130" t="n">
        <f aca="false">IFERROR(SUMPRODUCT(MAX(('Fatal Fury CotW'!$L$11:$L$42=$B150)*'Fatal Fury CotW'!$F$11:$F$42)),0)</f>
        <v>0</v>
      </c>
      <c r="M150" s="130" t="n">
        <f aca="false">IFERROR(SUMPRODUCT(MAX((TFT!$N$11:$N$26=$B150)*TFT!$H$11:$H$26)),0)</f>
        <v>0</v>
      </c>
      <c r="N150" s="130" t="n">
        <f aca="false">IFERROR(SUMPRODUCT(MAX(('Rainbow Six'!$P$11:$P$32=$B150)*'Rainbow Six'!$J$11:$J$32)),0)</f>
        <v>0</v>
      </c>
      <c r="O150" s="130" t="n">
        <f aca="false">IFERROR(SUMPRODUCT(MAX((Warzone!$M$11:$M$42=$B150)*Warzone!$G$11:$G$42)),0)</f>
        <v>0</v>
      </c>
      <c r="P150" s="130" t="n">
        <f aca="false">IFERROR(SUMPRODUCT(MAX((Valorant!$N$11:$N$26=$B150)*Valorant!$H$11:$H$26)),0)</f>
        <v>0</v>
      </c>
      <c r="Q150" s="130" t="n">
        <f aca="false">IFERROR(SUMPRODUCT(MAX(('MLBB (MSC)'!$M$11:$M$35=$B150)*'MLBB (MSC)'!$G$11:$G$35)),0)</f>
        <v>0</v>
      </c>
      <c r="R150" s="130" t="n">
        <f aca="false">IFERROR(SUMPRODUCT(MAX(('Apex Legends'!$O$11:$O$50=$B150)*'Apex Legends'!$I$11:$I$50)),0)</f>
        <v>0</v>
      </c>
      <c r="S150" s="130" t="n">
        <f aca="false">IFERROR(SUMPRODUCT(MAX(('Honor of Kings'!$N$11:$N$30=$B150)*'Honor of Kings'!$H$11:$H$30)),0)</f>
        <v>0</v>
      </c>
      <c r="T150" s="130" t="n">
        <f aca="false">IFERROR(SUMPRODUCT(MAX((CrossFire!$L$11:$L$26=$B150)*CrossFire!$F$11:$F$26)),0)</f>
        <v>0</v>
      </c>
      <c r="U150" s="130" t="n">
        <f aca="false">IFERROR(SUMPRODUCT(MAX(('Free Fire'!$M$11:$M$34=$B150)*'Free Fire'!$G$11:$G$34)),0)</f>
        <v>0</v>
      </c>
      <c r="V150" s="130" t="n">
        <f aca="false">IFERROR(SUMPRODUCT(MAX(('EA FC 26'!$N$11:$N$46=$B150)*'EA FC 26'!$H$11:$H$46)),0)</f>
        <v>0</v>
      </c>
      <c r="W150" s="130" t="n">
        <f aca="false">IFERROR(SUMPRODUCT(MAX(('Black Ops 7'!$O$11:$O$26=$B150)*'Black Ops 7'!$J$11:$J$26)),0)</f>
        <v>0</v>
      </c>
      <c r="X150" s="130" t="n">
        <f aca="false">IFERROR(SUMPRODUCT(MAX(('Rocket League'!$P$11:$P$26=$B150)*'Rocket League'!$J$11:$J$26)),0)</f>
        <v>0</v>
      </c>
      <c r="Y150" s="130" t="n">
        <f aca="false">IFERROR(SUMPRODUCT(MAX(('Overwatch 2'!$L$11:$L$26=$B150)*'Overwatch 2'!$F$11:$F$26)),0)</f>
        <v>0</v>
      </c>
      <c r="Z150" s="130" t="n">
        <f aca="false">IFERROR(SUMPRODUCT(MAX((PUBG!$L$11:$L$34=$B150)*PUBG!$F$11:$F$34)),0)</f>
        <v>0</v>
      </c>
      <c r="AA150" s="130" t="n">
        <f aca="false">IFERROR(SUMPRODUCT(MAX(('MLBB Women'!$L$11:$L$26=$B150)*'MLBB Women'!$F$11:$F$26)),0)</f>
        <v>0</v>
      </c>
      <c r="AB150" s="130" t="n">
        <f aca="false">SUM(C150:AA150)</f>
        <v>300</v>
      </c>
      <c r="AC150" s="130" t="n">
        <v>300</v>
      </c>
      <c r="AD150" s="200" t="n">
        <f aca="false">AB150-AC150</f>
        <v>0</v>
      </c>
      <c r="AE150" s="82" t="str">
        <f aca="false">IF(AB150=0,"not started",IF(AD150=0,"reconciled",IF(AD150&gt;0,"CHECK NAMES","in progress")))</f>
        <v>reconciled</v>
      </c>
    </row>
    <row r="151" customFormat="false" ht="15" hidden="false" customHeight="true" outlineLevel="0" collapsed="false">
      <c r="B151" s="92" t="s">
        <v>1651</v>
      </c>
      <c r="C151" s="130" t="n">
        <f aca="false">IFERROR(SUMIF(CS2!$L$11:$L$42,$B151,CS2!$F$11:$F$42),0)</f>
        <v>0</v>
      </c>
      <c r="D151" s="130" t="n">
        <f aca="false">IFERROR(SUMPRODUCT(MAX((Chess!$L$11:$L$32=$B151)*Chess!$F$11:$F$32)),0)</f>
        <v>0</v>
      </c>
      <c r="E151" s="130" t="n">
        <f aca="false">IFERROR(SUMPRODUCT(MAX((LoL!$L$11:$L$26=$B151)*LoL!$F$11:$F$26)),0)</f>
        <v>0</v>
      </c>
      <c r="F151" s="130" t="n">
        <f aca="false">IFERROR(SUMPRODUCT(MAX(('PUBG Mobile'!$L$11:$L$42=$B151)*'PUBG Mobile'!$F$11:$F$42)),0)</f>
        <v>0</v>
      </c>
      <c r="G151" s="130" t="n">
        <f aca="false">IFERROR(SUMPRODUCT(MAX(('Fortnite Reload'!$L$11:$L$50=$B151)*'Fortnite Reload'!$F$11:$F$50)),0)</f>
        <v>0</v>
      </c>
      <c r="H151" s="130" t="n">
        <f aca="false">IFERROR(SUMPRODUCT(MAX((Trackmania!$M$11:$M$42=$B151)*Trackmania!$G$11:$G$42)),0)</f>
        <v>0</v>
      </c>
      <c r="I151" s="130" t="n">
        <f aca="false">IFERROR(SUMPRODUCT(MAX(('Dota 2'!$N$11:$N$34=$B151)*'Dota 2'!$H$11:$H$34)),0)</f>
        <v>0</v>
      </c>
      <c r="J151" s="130" t="n">
        <f aca="false">IFERROR(SUMPRODUCT(MAX(('Tekken 8'!$N$11:$N$42=$B151)*'Tekken 8'!$H$11:$H$42)),0)</f>
        <v>0</v>
      </c>
      <c r="K151" s="130" t="n">
        <f aca="false">IFERROR(SUMPRODUCT(MAX(('Street Fighter 6'!$O$11:$O$42=$B151)*'Street Fighter 6'!$I$11:$I$42)),0)</f>
        <v>0</v>
      </c>
      <c r="L151" s="130" t="n">
        <f aca="false">IFERROR(SUMPRODUCT(MAX(('Fatal Fury CotW'!$L$11:$L$42=$B151)*'Fatal Fury CotW'!$F$11:$F$42)),0)</f>
        <v>0</v>
      </c>
      <c r="M151" s="130" t="n">
        <f aca="false">IFERROR(SUMPRODUCT(MAX((TFT!$N$11:$N$26=$B151)*TFT!$H$11:$H$26)),0)</f>
        <v>0</v>
      </c>
      <c r="N151" s="130" t="n">
        <f aca="false">IFERROR(SUMPRODUCT(MAX(('Rainbow Six'!$P$11:$P$32=$B151)*'Rainbow Six'!$J$11:$J$32)),0)</f>
        <v>0</v>
      </c>
      <c r="O151" s="130" t="n">
        <f aca="false">IFERROR(SUMPRODUCT(MAX((Warzone!$M$11:$M$42=$B151)*Warzone!$G$11:$G$42)),0)</f>
        <v>0</v>
      </c>
      <c r="P151" s="130" t="n">
        <f aca="false">IFERROR(SUMPRODUCT(MAX((Valorant!$N$11:$N$26=$B151)*Valorant!$H$11:$H$26)),0)</f>
        <v>0</v>
      </c>
      <c r="Q151" s="130" t="n">
        <f aca="false">IFERROR(SUMPRODUCT(MAX(('MLBB (MSC)'!$M$11:$M$35=$B151)*'MLBB (MSC)'!$G$11:$G$35)),0)</f>
        <v>0</v>
      </c>
      <c r="R151" s="130" t="n">
        <f aca="false">IFERROR(SUMPRODUCT(MAX(('Apex Legends'!$O$11:$O$50=$B151)*'Apex Legends'!$I$11:$I$50)),0)</f>
        <v>0</v>
      </c>
      <c r="S151" s="130" t="n">
        <f aca="false">IFERROR(SUMPRODUCT(MAX(('Honor of Kings'!$N$11:$N$30=$B151)*'Honor of Kings'!$H$11:$H$30)),0)</f>
        <v>0</v>
      </c>
      <c r="T151" s="130" t="n">
        <f aca="false">IFERROR(SUMPRODUCT(MAX((CrossFire!$L$11:$L$26=$B151)*CrossFire!$F$11:$F$26)),0)</f>
        <v>0</v>
      </c>
      <c r="U151" s="130" t="n">
        <f aca="false">IFERROR(SUMPRODUCT(MAX(('Free Fire'!$M$11:$M$34=$B151)*'Free Fire'!$G$11:$G$34)),0)</f>
        <v>0</v>
      </c>
      <c r="V151" s="130" t="n">
        <f aca="false">IFERROR(SUMPRODUCT(MAX(('EA FC 26'!$N$11:$N$46=$B151)*'EA FC 26'!$H$11:$H$46)),0)</f>
        <v>0</v>
      </c>
      <c r="W151" s="130" t="n">
        <f aca="false">IFERROR(SUMPRODUCT(MAX(('Black Ops 7'!$O$11:$O$26=$B151)*'Black Ops 7'!$J$11:$J$26)),0)</f>
        <v>0</v>
      </c>
      <c r="X151" s="130" t="n">
        <f aca="false">IFERROR(SUMPRODUCT(MAX(('Rocket League'!$P$11:$P$26=$B151)*'Rocket League'!$J$11:$J$26)),0)</f>
        <v>0</v>
      </c>
      <c r="Y151" s="130" t="n">
        <f aca="false">IFERROR(SUMPRODUCT(MAX(('Overwatch 2'!$L$11:$L$26=$B151)*'Overwatch 2'!$F$11:$F$26)),0)</f>
        <v>200</v>
      </c>
      <c r="Z151" s="130" t="n">
        <f aca="false">IFERROR(SUMPRODUCT(MAX((PUBG!$L$11:$L$34=$B151)*PUBG!$F$11:$F$34)),0)</f>
        <v>0</v>
      </c>
      <c r="AA151" s="130" t="n">
        <f aca="false">IFERROR(SUMPRODUCT(MAX(('MLBB Women'!$L$11:$L$26=$B151)*'MLBB Women'!$F$11:$F$26)),0)</f>
        <v>0</v>
      </c>
      <c r="AB151" s="130" t="n">
        <f aca="false">SUM(C151:AA151)</f>
        <v>200</v>
      </c>
      <c r="AC151" s="130" t="n">
        <v>200</v>
      </c>
      <c r="AD151" s="200" t="n">
        <f aca="false">AB151-AC151</f>
        <v>0</v>
      </c>
      <c r="AE151" s="82" t="str">
        <f aca="false">IF(AB151=0,"not started",IF(AD151=0,"reconciled",IF(AD151&gt;0,"CHECK NAMES","in progress")))</f>
        <v>reconciled</v>
      </c>
    </row>
    <row r="152" customFormat="false" ht="15" hidden="false" customHeight="true" outlineLevel="0" collapsed="false">
      <c r="B152" s="92" t="s">
        <v>561</v>
      </c>
      <c r="C152" s="130" t="n">
        <f aca="false">IFERROR(SUMIF(CS2!$L$11:$L$42,$B152,CS2!$F$11:$F$42),0)</f>
        <v>0</v>
      </c>
      <c r="D152" s="130" t="n">
        <f aca="false">IFERROR(SUMPRODUCT(MAX((Chess!$L$11:$L$32=$B152)*Chess!$F$11:$F$32)),0)</f>
        <v>0</v>
      </c>
      <c r="E152" s="130" t="n">
        <f aca="false">IFERROR(SUMPRODUCT(MAX((LoL!$L$11:$L$26=$B152)*LoL!$F$11:$F$26)),0)</f>
        <v>200</v>
      </c>
      <c r="F152" s="130" t="n">
        <f aca="false">IFERROR(SUMPRODUCT(MAX(('PUBG Mobile'!$L$11:$L$42=$B152)*'PUBG Mobile'!$F$11:$F$42)),0)</f>
        <v>0</v>
      </c>
      <c r="G152" s="130" t="n">
        <f aca="false">IFERROR(SUMPRODUCT(MAX(('Fortnite Reload'!$L$11:$L$50=$B152)*'Fortnite Reload'!$F$11:$F$50)),0)</f>
        <v>0</v>
      </c>
      <c r="H152" s="130" t="n">
        <f aca="false">IFERROR(SUMPRODUCT(MAX((Trackmania!$M$11:$M$42=$B152)*Trackmania!$G$11:$G$42)),0)</f>
        <v>0</v>
      </c>
      <c r="I152" s="130" t="n">
        <f aca="false">IFERROR(SUMPRODUCT(MAX(('Dota 2'!$N$11:$N$34=$B152)*'Dota 2'!$H$11:$H$34)),0)</f>
        <v>0</v>
      </c>
      <c r="J152" s="130" t="n">
        <f aca="false">IFERROR(SUMPRODUCT(MAX(('Tekken 8'!$N$11:$N$42=$B152)*'Tekken 8'!$H$11:$H$42)),0)</f>
        <v>0</v>
      </c>
      <c r="K152" s="130" t="n">
        <f aca="false">IFERROR(SUMPRODUCT(MAX(('Street Fighter 6'!$O$11:$O$42=$B152)*'Street Fighter 6'!$I$11:$I$42)),0)</f>
        <v>0</v>
      </c>
      <c r="L152" s="130" t="n">
        <f aca="false">IFERROR(SUMPRODUCT(MAX(('Fatal Fury CotW'!$L$11:$L$42=$B152)*'Fatal Fury CotW'!$F$11:$F$42)),0)</f>
        <v>0</v>
      </c>
      <c r="M152" s="130" t="n">
        <f aca="false">IFERROR(SUMPRODUCT(MAX((TFT!$N$11:$N$26=$B152)*TFT!$H$11:$H$26)),0)</f>
        <v>0</v>
      </c>
      <c r="N152" s="130" t="n">
        <f aca="false">IFERROR(SUMPRODUCT(MAX(('Rainbow Six'!$P$11:$P$32=$B152)*'Rainbow Six'!$J$11:$J$32)),0)</f>
        <v>0</v>
      </c>
      <c r="O152" s="130" t="n">
        <f aca="false">IFERROR(SUMPRODUCT(MAX((Warzone!$M$11:$M$42=$B152)*Warzone!$G$11:$G$42)),0)</f>
        <v>0</v>
      </c>
      <c r="P152" s="130" t="n">
        <f aca="false">IFERROR(SUMPRODUCT(MAX((Valorant!$N$11:$N$26=$B152)*Valorant!$H$11:$H$26)),0)</f>
        <v>0</v>
      </c>
      <c r="Q152" s="130" t="n">
        <f aca="false">IFERROR(SUMPRODUCT(MAX(('MLBB (MSC)'!$M$11:$M$35=$B152)*'MLBB (MSC)'!$G$11:$G$35)),0)</f>
        <v>0</v>
      </c>
      <c r="R152" s="130" t="n">
        <f aca="false">IFERROR(SUMPRODUCT(MAX(('Apex Legends'!$O$11:$O$50=$B152)*'Apex Legends'!$I$11:$I$50)),0)</f>
        <v>0</v>
      </c>
      <c r="S152" s="130" t="n">
        <f aca="false">IFERROR(SUMPRODUCT(MAX(('Honor of Kings'!$N$11:$N$30=$B152)*'Honor of Kings'!$H$11:$H$30)),0)</f>
        <v>0</v>
      </c>
      <c r="T152" s="130" t="n">
        <f aca="false">IFERROR(SUMPRODUCT(MAX((CrossFire!$L$11:$L$26=$B152)*CrossFire!$F$11:$F$26)),0)</f>
        <v>0</v>
      </c>
      <c r="U152" s="130" t="n">
        <f aca="false">IFERROR(SUMPRODUCT(MAX(('Free Fire'!$M$11:$M$34=$B152)*'Free Fire'!$G$11:$G$34)),0)</f>
        <v>0</v>
      </c>
      <c r="V152" s="130" t="n">
        <f aca="false">IFERROR(SUMPRODUCT(MAX(('EA FC 26'!$N$11:$N$46=$B152)*'EA FC 26'!$H$11:$H$46)),0)</f>
        <v>0</v>
      </c>
      <c r="W152" s="130" t="n">
        <f aca="false">IFERROR(SUMPRODUCT(MAX(('Black Ops 7'!$O$11:$O$26=$B152)*'Black Ops 7'!$J$11:$J$26)),0)</f>
        <v>0</v>
      </c>
      <c r="X152" s="130" t="n">
        <f aca="false">IFERROR(SUMPRODUCT(MAX(('Rocket League'!$P$11:$P$26=$B152)*'Rocket League'!$J$11:$J$26)),0)</f>
        <v>0</v>
      </c>
      <c r="Y152" s="130" t="n">
        <f aca="false">IFERROR(SUMPRODUCT(MAX(('Overwatch 2'!$L$11:$L$26=$B152)*'Overwatch 2'!$F$11:$F$26)),0)</f>
        <v>0</v>
      </c>
      <c r="Z152" s="130" t="n">
        <f aca="false">IFERROR(SUMPRODUCT(MAX((PUBG!$L$11:$L$34=$B152)*PUBG!$F$11:$F$34)),0)</f>
        <v>0</v>
      </c>
      <c r="AA152" s="130" t="n">
        <f aca="false">IFERROR(SUMPRODUCT(MAX(('MLBB Women'!$L$11:$L$26=$B152)*'MLBB Women'!$F$11:$F$26)),0)</f>
        <v>0</v>
      </c>
      <c r="AB152" s="130" t="n">
        <f aca="false">SUM(C152:AA152)</f>
        <v>200</v>
      </c>
      <c r="AC152" s="130" t="n">
        <v>200</v>
      </c>
      <c r="AD152" s="200" t="n">
        <f aca="false">AB152-AC152</f>
        <v>0</v>
      </c>
      <c r="AE152" s="82" t="str">
        <f aca="false">IF(AB152=0,"not started",IF(AD152=0,"reconciled",IF(AD152&gt;0,"CHECK NAMES","in progress")))</f>
        <v>reconciled</v>
      </c>
    </row>
    <row r="153" customFormat="false" ht="15" hidden="false" customHeight="true" outlineLevel="0" collapsed="false">
      <c r="B153" s="92" t="s">
        <v>1203</v>
      </c>
      <c r="C153" s="130" t="n">
        <f aca="false">IFERROR(SUMIF(CS2!$L$11:$L$42,$B153,CS2!$F$11:$F$42),0)</f>
        <v>0</v>
      </c>
      <c r="D153" s="130" t="n">
        <f aca="false">IFERROR(SUMPRODUCT(MAX((Chess!$L$11:$L$32=$B153)*Chess!$F$11:$F$32)),0)</f>
        <v>0</v>
      </c>
      <c r="E153" s="130" t="n">
        <f aca="false">IFERROR(SUMPRODUCT(MAX((LoL!$L$11:$L$26=$B153)*LoL!$F$11:$F$26)),0)</f>
        <v>0</v>
      </c>
      <c r="F153" s="130" t="n">
        <f aca="false">IFERROR(SUMPRODUCT(MAX(('PUBG Mobile'!$L$11:$L$42=$B153)*'PUBG Mobile'!$F$11:$F$42)),0)</f>
        <v>0</v>
      </c>
      <c r="G153" s="130" t="n">
        <f aca="false">IFERROR(SUMPRODUCT(MAX(('Fortnite Reload'!$L$11:$L$50=$B153)*'Fortnite Reload'!$F$11:$F$50)),0)</f>
        <v>0</v>
      </c>
      <c r="H153" s="130" t="n">
        <f aca="false">IFERROR(SUMPRODUCT(MAX((Trackmania!$M$11:$M$42=$B153)*Trackmania!$G$11:$G$42)),0)</f>
        <v>0</v>
      </c>
      <c r="I153" s="130" t="n">
        <f aca="false">IFERROR(SUMPRODUCT(MAX(('Dota 2'!$N$11:$N$34=$B153)*'Dota 2'!$H$11:$H$34)),0)</f>
        <v>0</v>
      </c>
      <c r="J153" s="130" t="n">
        <f aca="false">IFERROR(SUMPRODUCT(MAX(('Tekken 8'!$N$11:$N$42=$B153)*'Tekken 8'!$H$11:$H$42)),0)</f>
        <v>0</v>
      </c>
      <c r="K153" s="130" t="n">
        <f aca="false">IFERROR(SUMPRODUCT(MAX(('Street Fighter 6'!$O$11:$O$42=$B153)*'Street Fighter 6'!$I$11:$I$42)),0)</f>
        <v>0</v>
      </c>
      <c r="L153" s="130" t="n">
        <f aca="false">IFERROR(SUMPRODUCT(MAX(('Fatal Fury CotW'!$L$11:$L$42=$B153)*'Fatal Fury CotW'!$F$11:$F$42)),0)</f>
        <v>0</v>
      </c>
      <c r="M153" s="130" t="n">
        <f aca="false">IFERROR(SUMPRODUCT(MAX((TFT!$N$11:$N$26=$B153)*TFT!$H$11:$H$26)),0)</f>
        <v>0</v>
      </c>
      <c r="N153" s="130" t="n">
        <f aca="false">IFERROR(SUMPRODUCT(MAX(('Rainbow Six'!$P$11:$P$32=$B153)*'Rainbow Six'!$J$11:$J$32)),0)</f>
        <v>0</v>
      </c>
      <c r="O153" s="130" t="n">
        <f aca="false">IFERROR(SUMPRODUCT(MAX((Warzone!$M$11:$M$42=$B153)*Warzone!$G$11:$G$42)),0)</f>
        <v>0</v>
      </c>
      <c r="P153" s="130" t="n">
        <f aca="false">IFERROR(SUMPRODUCT(MAX((Valorant!$N$11:$N$26=$B153)*Valorant!$H$11:$H$26)),0)</f>
        <v>0</v>
      </c>
      <c r="Q153" s="130" t="n">
        <f aca="false">IFERROR(SUMPRODUCT(MAX(('MLBB (MSC)'!$M$11:$M$35=$B153)*'MLBB (MSC)'!$G$11:$G$35)),0)</f>
        <v>200</v>
      </c>
      <c r="R153" s="130" t="n">
        <f aca="false">IFERROR(SUMPRODUCT(MAX(('Apex Legends'!$O$11:$O$50=$B153)*'Apex Legends'!$I$11:$I$50)),0)</f>
        <v>0</v>
      </c>
      <c r="S153" s="130" t="n">
        <f aca="false">IFERROR(SUMPRODUCT(MAX(('Honor of Kings'!$N$11:$N$30=$B153)*'Honor of Kings'!$H$11:$H$30)),0)</f>
        <v>0</v>
      </c>
      <c r="T153" s="130" t="n">
        <f aca="false">IFERROR(SUMPRODUCT(MAX((CrossFire!$L$11:$L$26=$B153)*CrossFire!$F$11:$F$26)),0)</f>
        <v>0</v>
      </c>
      <c r="U153" s="130" t="n">
        <f aca="false">IFERROR(SUMPRODUCT(MAX(('Free Fire'!$M$11:$M$34=$B153)*'Free Fire'!$G$11:$G$34)),0)</f>
        <v>0</v>
      </c>
      <c r="V153" s="130" t="n">
        <f aca="false">IFERROR(SUMPRODUCT(MAX(('EA FC 26'!$N$11:$N$46=$B153)*'EA FC 26'!$H$11:$H$46)),0)</f>
        <v>0</v>
      </c>
      <c r="W153" s="130" t="n">
        <f aca="false">IFERROR(SUMPRODUCT(MAX(('Black Ops 7'!$O$11:$O$26=$B153)*'Black Ops 7'!$J$11:$J$26)),0)</f>
        <v>0</v>
      </c>
      <c r="X153" s="130" t="n">
        <f aca="false">IFERROR(SUMPRODUCT(MAX(('Rocket League'!$P$11:$P$26=$B153)*'Rocket League'!$J$11:$J$26)),0)</f>
        <v>0</v>
      </c>
      <c r="Y153" s="130" t="n">
        <f aca="false">IFERROR(SUMPRODUCT(MAX(('Overwatch 2'!$L$11:$L$26=$B153)*'Overwatch 2'!$F$11:$F$26)),0)</f>
        <v>0</v>
      </c>
      <c r="Z153" s="130" t="n">
        <f aca="false">IFERROR(SUMPRODUCT(MAX((PUBG!$L$11:$L$34=$B153)*PUBG!$F$11:$F$34)),0)</f>
        <v>0</v>
      </c>
      <c r="AA153" s="130" t="n">
        <f aca="false">IFERROR(SUMPRODUCT(MAX(('MLBB Women'!$L$11:$L$26=$B153)*'MLBB Women'!$F$11:$F$26)),0)</f>
        <v>0</v>
      </c>
      <c r="AB153" s="130" t="n">
        <f aca="false">SUM(C153:AA153)</f>
        <v>200</v>
      </c>
      <c r="AC153" s="130" t="n">
        <v>200</v>
      </c>
      <c r="AD153" s="200" t="n">
        <f aca="false">AB153-AC153</f>
        <v>0</v>
      </c>
      <c r="AE153" s="82" t="str">
        <f aca="false">IF(AB153=0,"not started",IF(AD153=0,"reconciled",IF(AD153&gt;0,"CHECK NAMES","in progress")))</f>
        <v>reconciled</v>
      </c>
    </row>
    <row r="154" customFormat="false" ht="15" hidden="false" customHeight="true" outlineLevel="0" collapsed="false">
      <c r="B154" s="92" t="s">
        <v>1401</v>
      </c>
      <c r="C154" s="130" t="n">
        <f aca="false">IFERROR(SUMIF(CS2!$L$11:$L$42,$B154,CS2!$F$11:$F$42),0)</f>
        <v>0</v>
      </c>
      <c r="D154" s="130" t="n">
        <f aca="false">IFERROR(SUMPRODUCT(MAX((Chess!$L$11:$L$32=$B154)*Chess!$F$11:$F$32)),0)</f>
        <v>0</v>
      </c>
      <c r="E154" s="130" t="n">
        <f aca="false">IFERROR(SUMPRODUCT(MAX((LoL!$L$11:$L$26=$B154)*LoL!$F$11:$F$26)),0)</f>
        <v>0</v>
      </c>
      <c r="F154" s="130" t="n">
        <f aca="false">IFERROR(SUMPRODUCT(MAX(('PUBG Mobile'!$L$11:$L$42=$B154)*'PUBG Mobile'!$F$11:$F$42)),0)</f>
        <v>0</v>
      </c>
      <c r="G154" s="130" t="n">
        <f aca="false">IFERROR(SUMPRODUCT(MAX(('Fortnite Reload'!$L$11:$L$50=$B154)*'Fortnite Reload'!$F$11:$F$50)),0)</f>
        <v>0</v>
      </c>
      <c r="H154" s="130" t="n">
        <f aca="false">IFERROR(SUMPRODUCT(MAX((Trackmania!$M$11:$M$42=$B154)*Trackmania!$G$11:$G$42)),0)</f>
        <v>0</v>
      </c>
      <c r="I154" s="130" t="n">
        <f aca="false">IFERROR(SUMPRODUCT(MAX(('Dota 2'!$N$11:$N$34=$B154)*'Dota 2'!$H$11:$H$34)),0)</f>
        <v>0</v>
      </c>
      <c r="J154" s="130" t="n">
        <f aca="false">IFERROR(SUMPRODUCT(MAX(('Tekken 8'!$N$11:$N$42=$B154)*'Tekken 8'!$H$11:$H$42)),0)</f>
        <v>0</v>
      </c>
      <c r="K154" s="130" t="n">
        <f aca="false">IFERROR(SUMPRODUCT(MAX(('Street Fighter 6'!$O$11:$O$42=$B154)*'Street Fighter 6'!$I$11:$I$42)),0)</f>
        <v>0</v>
      </c>
      <c r="L154" s="130" t="n">
        <f aca="false">IFERROR(SUMPRODUCT(MAX(('Fatal Fury CotW'!$L$11:$L$42=$B154)*'Fatal Fury CotW'!$F$11:$F$42)),0)</f>
        <v>0</v>
      </c>
      <c r="M154" s="130" t="n">
        <f aca="false">IFERROR(SUMPRODUCT(MAX((TFT!$N$11:$N$26=$B154)*TFT!$H$11:$H$26)),0)</f>
        <v>0</v>
      </c>
      <c r="N154" s="130" t="n">
        <f aca="false">IFERROR(SUMPRODUCT(MAX(('Rainbow Six'!$P$11:$P$32=$B154)*'Rainbow Six'!$J$11:$J$32)),0)</f>
        <v>0</v>
      </c>
      <c r="O154" s="130" t="n">
        <f aca="false">IFERROR(SUMPRODUCT(MAX((Warzone!$M$11:$M$42=$B154)*Warzone!$G$11:$G$42)),0)</f>
        <v>0</v>
      </c>
      <c r="P154" s="130" t="n">
        <f aca="false">IFERROR(SUMPRODUCT(MAX((Valorant!$N$11:$N$26=$B154)*Valorant!$H$11:$H$26)),0)</f>
        <v>0</v>
      </c>
      <c r="Q154" s="130" t="n">
        <f aca="false">IFERROR(SUMPRODUCT(MAX(('MLBB (MSC)'!$M$11:$M$35=$B154)*'MLBB (MSC)'!$G$11:$G$35)),0)</f>
        <v>0</v>
      </c>
      <c r="R154" s="130" t="n">
        <f aca="false">IFERROR(SUMPRODUCT(MAX(('Apex Legends'!$O$11:$O$50=$B154)*'Apex Legends'!$I$11:$I$50)),0)</f>
        <v>0</v>
      </c>
      <c r="S154" s="130" t="n">
        <f aca="false">IFERROR(SUMPRODUCT(MAX(('Honor of Kings'!$N$11:$N$30=$B154)*'Honor of Kings'!$H$11:$H$30)),0)</f>
        <v>0</v>
      </c>
      <c r="T154" s="130" t="n">
        <f aca="false">IFERROR(SUMPRODUCT(MAX((CrossFire!$L$11:$L$26=$B154)*CrossFire!$F$11:$F$26)),0)</f>
        <v>0</v>
      </c>
      <c r="U154" s="130" t="n">
        <f aca="false">IFERROR(SUMPRODUCT(MAX(('Free Fire'!$M$11:$M$34=$B154)*'Free Fire'!$G$11:$G$34)),0)</f>
        <v>0</v>
      </c>
      <c r="V154" s="130" t="n">
        <f aca="false">IFERROR(SUMPRODUCT(MAX(('EA FC 26'!$N$11:$N$46=$B154)*'EA FC 26'!$H$11:$H$46)),0)</f>
        <v>200</v>
      </c>
      <c r="W154" s="130" t="n">
        <f aca="false">IFERROR(SUMPRODUCT(MAX(('Black Ops 7'!$O$11:$O$26=$B154)*'Black Ops 7'!$J$11:$J$26)),0)</f>
        <v>0</v>
      </c>
      <c r="X154" s="130" t="n">
        <f aca="false">IFERROR(SUMPRODUCT(MAX(('Rocket League'!$P$11:$P$26=$B154)*'Rocket League'!$J$11:$J$26)),0)</f>
        <v>0</v>
      </c>
      <c r="Y154" s="130" t="n">
        <f aca="false">IFERROR(SUMPRODUCT(MAX(('Overwatch 2'!$L$11:$L$26=$B154)*'Overwatch 2'!$F$11:$F$26)),0)</f>
        <v>0</v>
      </c>
      <c r="Z154" s="130" t="n">
        <f aca="false">IFERROR(SUMPRODUCT(MAX((PUBG!$L$11:$L$34=$B154)*PUBG!$F$11:$F$34)),0)</f>
        <v>0</v>
      </c>
      <c r="AA154" s="130" t="n">
        <f aca="false">IFERROR(SUMPRODUCT(MAX(('MLBB Women'!$L$11:$L$26=$B154)*'MLBB Women'!$F$11:$F$26)),0)</f>
        <v>0</v>
      </c>
      <c r="AB154" s="130" t="n">
        <f aca="false">SUM(C154:AA154)</f>
        <v>200</v>
      </c>
      <c r="AC154" s="130" t="n">
        <v>200</v>
      </c>
      <c r="AD154" s="200" t="n">
        <f aca="false">AB154-AC154</f>
        <v>0</v>
      </c>
      <c r="AE154" s="82" t="str">
        <f aca="false">IF(AB154=0,"not started",IF(AD154=0,"reconciled",IF(AD154&gt;0,"CHECK NAMES","in progress")))</f>
        <v>reconciled</v>
      </c>
    </row>
    <row r="155" customFormat="false" ht="15" hidden="false" customHeight="true" outlineLevel="0" collapsed="false">
      <c r="B155" s="92" t="s">
        <v>856</v>
      </c>
      <c r="C155" s="130" t="n">
        <f aca="false">IFERROR(SUMIF(CS2!$L$11:$L$42,$B155,CS2!$F$11:$F$42),0)</f>
        <v>0</v>
      </c>
      <c r="D155" s="130" t="n">
        <f aca="false">IFERROR(SUMPRODUCT(MAX((Chess!$L$11:$L$32=$B155)*Chess!$F$11:$F$32)),0)</f>
        <v>0</v>
      </c>
      <c r="E155" s="130" t="n">
        <f aca="false">IFERROR(SUMPRODUCT(MAX((LoL!$L$11:$L$26=$B155)*LoL!$F$11:$F$26)),0)</f>
        <v>0</v>
      </c>
      <c r="F155" s="130" t="n">
        <f aca="false">IFERROR(SUMPRODUCT(MAX(('PUBG Mobile'!$L$11:$L$42=$B155)*'PUBG Mobile'!$F$11:$F$42)),0)</f>
        <v>0</v>
      </c>
      <c r="G155" s="130" t="n">
        <f aca="false">IFERROR(SUMPRODUCT(MAX(('Fortnite Reload'!$L$11:$L$50=$B155)*'Fortnite Reload'!$F$11:$F$50)),0)</f>
        <v>0</v>
      </c>
      <c r="H155" s="130" t="n">
        <f aca="false">IFERROR(SUMPRODUCT(MAX((Trackmania!$M$11:$M$42=$B155)*Trackmania!$G$11:$G$42)),0)</f>
        <v>0</v>
      </c>
      <c r="I155" s="130" t="n">
        <f aca="false">IFERROR(SUMPRODUCT(MAX(('Dota 2'!$N$11:$N$34=$B155)*'Dota 2'!$H$11:$H$34)),0)</f>
        <v>200</v>
      </c>
      <c r="J155" s="130" t="n">
        <f aca="false">IFERROR(SUMPRODUCT(MAX(('Tekken 8'!$N$11:$N$42=$B155)*'Tekken 8'!$H$11:$H$42)),0)</f>
        <v>0</v>
      </c>
      <c r="K155" s="130" t="n">
        <f aca="false">IFERROR(SUMPRODUCT(MAX(('Street Fighter 6'!$O$11:$O$42=$B155)*'Street Fighter 6'!$I$11:$I$42)),0)</f>
        <v>0</v>
      </c>
      <c r="L155" s="130" t="n">
        <f aca="false">IFERROR(SUMPRODUCT(MAX(('Fatal Fury CotW'!$L$11:$L$42=$B155)*'Fatal Fury CotW'!$F$11:$F$42)),0)</f>
        <v>0</v>
      </c>
      <c r="M155" s="130" t="n">
        <f aca="false">IFERROR(SUMPRODUCT(MAX((TFT!$N$11:$N$26=$B155)*TFT!$H$11:$H$26)),0)</f>
        <v>0</v>
      </c>
      <c r="N155" s="130" t="n">
        <f aca="false">IFERROR(SUMPRODUCT(MAX(('Rainbow Six'!$P$11:$P$32=$B155)*'Rainbow Six'!$J$11:$J$32)),0)</f>
        <v>0</v>
      </c>
      <c r="O155" s="130" t="n">
        <f aca="false">IFERROR(SUMPRODUCT(MAX((Warzone!$M$11:$M$42=$B155)*Warzone!$G$11:$G$42)),0)</f>
        <v>0</v>
      </c>
      <c r="P155" s="130" t="n">
        <f aca="false">IFERROR(SUMPRODUCT(MAX((Valorant!$N$11:$N$26=$B155)*Valorant!$H$11:$H$26)),0)</f>
        <v>0</v>
      </c>
      <c r="Q155" s="130" t="n">
        <f aca="false">IFERROR(SUMPRODUCT(MAX(('MLBB (MSC)'!$M$11:$M$35=$B155)*'MLBB (MSC)'!$G$11:$G$35)),0)</f>
        <v>0</v>
      </c>
      <c r="R155" s="130" t="n">
        <f aca="false">IFERROR(SUMPRODUCT(MAX(('Apex Legends'!$O$11:$O$50=$B155)*'Apex Legends'!$I$11:$I$50)),0)</f>
        <v>0</v>
      </c>
      <c r="S155" s="130" t="n">
        <f aca="false">IFERROR(SUMPRODUCT(MAX(('Honor of Kings'!$N$11:$N$30=$B155)*'Honor of Kings'!$H$11:$H$30)),0)</f>
        <v>0</v>
      </c>
      <c r="T155" s="130" t="n">
        <f aca="false">IFERROR(SUMPRODUCT(MAX((CrossFire!$L$11:$L$26=$B155)*CrossFire!$F$11:$F$26)),0)</f>
        <v>0</v>
      </c>
      <c r="U155" s="130" t="n">
        <f aca="false">IFERROR(SUMPRODUCT(MAX(('Free Fire'!$M$11:$M$34=$B155)*'Free Fire'!$G$11:$G$34)),0)</f>
        <v>0</v>
      </c>
      <c r="V155" s="130" t="n">
        <f aca="false">IFERROR(SUMPRODUCT(MAX(('EA FC 26'!$N$11:$N$46=$B155)*'EA FC 26'!$H$11:$H$46)),0)</f>
        <v>0</v>
      </c>
      <c r="W155" s="130" t="n">
        <f aca="false">IFERROR(SUMPRODUCT(MAX(('Black Ops 7'!$O$11:$O$26=$B155)*'Black Ops 7'!$J$11:$J$26)),0)</f>
        <v>0</v>
      </c>
      <c r="X155" s="130" t="n">
        <f aca="false">IFERROR(SUMPRODUCT(MAX(('Rocket League'!$P$11:$P$26=$B155)*'Rocket League'!$J$11:$J$26)),0)</f>
        <v>0</v>
      </c>
      <c r="Y155" s="130" t="n">
        <f aca="false">IFERROR(SUMPRODUCT(MAX(('Overwatch 2'!$L$11:$L$26=$B155)*'Overwatch 2'!$F$11:$F$26)),0)</f>
        <v>0</v>
      </c>
      <c r="Z155" s="130" t="n">
        <f aca="false">IFERROR(SUMPRODUCT(MAX((PUBG!$L$11:$L$34=$B155)*PUBG!$F$11:$F$34)),0)</f>
        <v>0</v>
      </c>
      <c r="AA155" s="130" t="n">
        <f aca="false">IFERROR(SUMPRODUCT(MAX(('MLBB Women'!$L$11:$L$26=$B155)*'MLBB Women'!$F$11:$F$26)),0)</f>
        <v>0</v>
      </c>
      <c r="AB155" s="130" t="n">
        <f aca="false">SUM(C155:AA155)</f>
        <v>200</v>
      </c>
      <c r="AC155" s="130" t="n">
        <v>200</v>
      </c>
      <c r="AD155" s="200" t="n">
        <f aca="false">AB155-AC155</f>
        <v>0</v>
      </c>
      <c r="AE155" s="82" t="str">
        <f aca="false">IF(AB155=0,"not started",IF(AD155=0,"reconciled",IF(AD155&gt;0,"CHECK NAMES","in progress")))</f>
        <v>reconciled</v>
      </c>
    </row>
    <row r="156" customFormat="false" ht="15" hidden="false" customHeight="true" outlineLevel="0" collapsed="false">
      <c r="B156" s="92" t="s">
        <v>1652</v>
      </c>
      <c r="C156" s="130" t="n">
        <f aca="false">IFERROR(SUMIF(CS2!$L$11:$L$42,$B156,CS2!$F$11:$F$42),0)</f>
        <v>0</v>
      </c>
      <c r="D156" s="130" t="n">
        <f aca="false">IFERROR(SUMPRODUCT(MAX((Chess!$L$11:$L$32=$B156)*Chess!$F$11:$F$32)),0)</f>
        <v>0</v>
      </c>
      <c r="E156" s="130" t="n">
        <f aca="false">IFERROR(SUMPRODUCT(MAX((LoL!$L$11:$L$26=$B156)*LoL!$F$11:$F$26)),0)</f>
        <v>0</v>
      </c>
      <c r="F156" s="130" t="n">
        <f aca="false">IFERROR(SUMPRODUCT(MAX(('PUBG Mobile'!$L$11:$L$42=$B156)*'PUBG Mobile'!$F$11:$F$42)),0)</f>
        <v>0</v>
      </c>
      <c r="G156" s="130" t="n">
        <f aca="false">IFERROR(SUMPRODUCT(MAX(('Fortnite Reload'!$L$11:$L$50=$B156)*'Fortnite Reload'!$F$11:$F$50)),0)</f>
        <v>0</v>
      </c>
      <c r="H156" s="130" t="n">
        <f aca="false">IFERROR(SUMPRODUCT(MAX((Trackmania!$M$11:$M$42=$B156)*Trackmania!$G$11:$G$42)),0)</f>
        <v>0</v>
      </c>
      <c r="I156" s="130" t="n">
        <f aca="false">IFERROR(SUMPRODUCT(MAX(('Dota 2'!$N$11:$N$34=$B156)*'Dota 2'!$H$11:$H$34)),0)</f>
        <v>0</v>
      </c>
      <c r="J156" s="130" t="n">
        <f aca="false">IFERROR(SUMPRODUCT(MAX(('Tekken 8'!$N$11:$N$42=$B156)*'Tekken 8'!$H$11:$H$42)),0)</f>
        <v>0</v>
      </c>
      <c r="K156" s="130" t="n">
        <f aca="false">IFERROR(SUMPRODUCT(MAX(('Street Fighter 6'!$O$11:$O$42=$B156)*'Street Fighter 6'!$I$11:$I$42)),0)</f>
        <v>0</v>
      </c>
      <c r="L156" s="130" t="n">
        <f aca="false">IFERROR(SUMPRODUCT(MAX(('Fatal Fury CotW'!$L$11:$L$42=$B156)*'Fatal Fury CotW'!$F$11:$F$42)),0)</f>
        <v>0</v>
      </c>
      <c r="M156" s="130" t="n">
        <f aca="false">IFERROR(SUMPRODUCT(MAX((TFT!$N$11:$N$26=$B156)*TFT!$H$11:$H$26)),0)</f>
        <v>0</v>
      </c>
      <c r="N156" s="130" t="n">
        <f aca="false">IFERROR(SUMPRODUCT(MAX(('Rainbow Six'!$P$11:$P$32=$B156)*'Rainbow Six'!$J$11:$J$32)),0)</f>
        <v>0</v>
      </c>
      <c r="O156" s="130" t="n">
        <f aca="false">IFERROR(SUMPRODUCT(MAX((Warzone!$M$11:$M$42=$B156)*Warzone!$G$11:$G$42)),0)</f>
        <v>0</v>
      </c>
      <c r="P156" s="130" t="n">
        <f aca="false">IFERROR(SUMPRODUCT(MAX((Valorant!$N$11:$N$26=$B156)*Valorant!$H$11:$H$26)),0)</f>
        <v>0</v>
      </c>
      <c r="Q156" s="130" t="n">
        <f aca="false">IFERROR(SUMPRODUCT(MAX(('MLBB (MSC)'!$M$11:$M$35=$B156)*'MLBB (MSC)'!$G$11:$G$35)),0)</f>
        <v>0</v>
      </c>
      <c r="R156" s="130" t="n">
        <f aca="false">IFERROR(SUMPRODUCT(MAX(('Apex Legends'!$O$11:$O$50=$B156)*'Apex Legends'!$I$11:$I$50)),0)</f>
        <v>0</v>
      </c>
      <c r="S156" s="130" t="n">
        <f aca="false">IFERROR(SUMPRODUCT(MAX(('Honor of Kings'!$N$11:$N$30=$B156)*'Honor of Kings'!$H$11:$H$30)),0)</f>
        <v>0</v>
      </c>
      <c r="T156" s="130" t="n">
        <f aca="false">IFERROR(SUMPRODUCT(MAX((CrossFire!$L$11:$L$26=$B156)*CrossFire!$F$11:$F$26)),0)</f>
        <v>0</v>
      </c>
      <c r="U156" s="130" t="n">
        <f aca="false">IFERROR(SUMPRODUCT(MAX(('Free Fire'!$M$11:$M$34=$B156)*'Free Fire'!$G$11:$G$34)),0)</f>
        <v>0</v>
      </c>
      <c r="V156" s="130" t="n">
        <f aca="false">IFERROR(SUMPRODUCT(MAX(('EA FC 26'!$N$11:$N$46=$B156)*'EA FC 26'!$H$11:$H$46)),0)</f>
        <v>0</v>
      </c>
      <c r="W156" s="130" t="n">
        <f aca="false">IFERROR(SUMPRODUCT(MAX(('Black Ops 7'!$O$11:$O$26=$B156)*'Black Ops 7'!$J$11:$J$26)),0)</f>
        <v>0</v>
      </c>
      <c r="X156" s="130" t="n">
        <f aca="false">IFERROR(SUMPRODUCT(MAX(('Rocket League'!$P$11:$P$26=$B156)*'Rocket League'!$J$11:$J$26)),0)</f>
        <v>0</v>
      </c>
      <c r="Y156" s="130" t="n">
        <f aca="false">IFERROR(SUMPRODUCT(MAX(('Overwatch 2'!$L$11:$L$26=$B156)*'Overwatch 2'!$F$11:$F$26)),0)</f>
        <v>0</v>
      </c>
      <c r="Z156" s="130" t="n">
        <f aca="false">IFERROR(SUMPRODUCT(MAX((PUBG!$L$11:$L$34=$B156)*PUBG!$F$11:$F$34)),0)</f>
        <v>0</v>
      </c>
      <c r="AA156" s="130" t="n">
        <f aca="false">IFERROR(SUMPRODUCT(MAX(('MLBB Women'!$L$11:$L$26=$B156)*'MLBB Women'!$F$11:$F$26)),0)</f>
        <v>200</v>
      </c>
      <c r="AB156" s="130" t="n">
        <f aca="false">SUM(C156:AA156)</f>
        <v>200</v>
      </c>
      <c r="AC156" s="130" t="n">
        <v>200</v>
      </c>
      <c r="AD156" s="200" t="n">
        <f aca="false">AB156-AC156</f>
        <v>0</v>
      </c>
      <c r="AE156" s="82" t="str">
        <f aca="false">IF(AB156=0,"not started",IF(AD156=0,"reconciled",IF(AD156&gt;0,"CHECK NAMES","in progress")))</f>
        <v>reconciled</v>
      </c>
    </row>
    <row r="157" customFormat="false" ht="15" hidden="false" customHeight="true" outlineLevel="0" collapsed="false">
      <c r="B157" s="92" t="s">
        <v>1199</v>
      </c>
      <c r="C157" s="130" t="n">
        <f aca="false">IFERROR(SUMIF(CS2!$L$11:$L$42,$B157,CS2!$F$11:$F$42),0)</f>
        <v>0</v>
      </c>
      <c r="D157" s="130" t="n">
        <f aca="false">IFERROR(SUMPRODUCT(MAX((Chess!$L$11:$L$32=$B157)*Chess!$F$11:$F$32)),0)</f>
        <v>0</v>
      </c>
      <c r="E157" s="130" t="n">
        <f aca="false">IFERROR(SUMPRODUCT(MAX((LoL!$L$11:$L$26=$B157)*LoL!$F$11:$F$26)),0)</f>
        <v>0</v>
      </c>
      <c r="F157" s="130" t="n">
        <f aca="false">IFERROR(SUMPRODUCT(MAX(('PUBG Mobile'!$L$11:$L$42=$B157)*'PUBG Mobile'!$F$11:$F$42)),0)</f>
        <v>0</v>
      </c>
      <c r="G157" s="130" t="n">
        <f aca="false">IFERROR(SUMPRODUCT(MAX(('Fortnite Reload'!$L$11:$L$50=$B157)*'Fortnite Reload'!$F$11:$F$50)),0)</f>
        <v>0</v>
      </c>
      <c r="H157" s="130" t="n">
        <f aca="false">IFERROR(SUMPRODUCT(MAX((Trackmania!$M$11:$M$42=$B157)*Trackmania!$G$11:$G$42)),0)</f>
        <v>0</v>
      </c>
      <c r="I157" s="130" t="n">
        <f aca="false">IFERROR(SUMPRODUCT(MAX(('Dota 2'!$N$11:$N$34=$B157)*'Dota 2'!$H$11:$H$34)),0)</f>
        <v>0</v>
      </c>
      <c r="J157" s="130" t="n">
        <f aca="false">IFERROR(SUMPRODUCT(MAX(('Tekken 8'!$N$11:$N$42=$B157)*'Tekken 8'!$H$11:$H$42)),0)</f>
        <v>0</v>
      </c>
      <c r="K157" s="130" t="n">
        <f aca="false">IFERROR(SUMPRODUCT(MAX(('Street Fighter 6'!$O$11:$O$42=$B157)*'Street Fighter 6'!$I$11:$I$42)),0)</f>
        <v>0</v>
      </c>
      <c r="L157" s="130" t="n">
        <f aca="false">IFERROR(SUMPRODUCT(MAX(('Fatal Fury CotW'!$L$11:$L$42=$B157)*'Fatal Fury CotW'!$F$11:$F$42)),0)</f>
        <v>0</v>
      </c>
      <c r="M157" s="130" t="n">
        <f aca="false">IFERROR(SUMPRODUCT(MAX((TFT!$N$11:$N$26=$B157)*TFT!$H$11:$H$26)),0)</f>
        <v>0</v>
      </c>
      <c r="N157" s="130" t="n">
        <f aca="false">IFERROR(SUMPRODUCT(MAX(('Rainbow Six'!$P$11:$P$32=$B157)*'Rainbow Six'!$J$11:$J$32)),0)</f>
        <v>0</v>
      </c>
      <c r="O157" s="130" t="n">
        <f aca="false">IFERROR(SUMPRODUCT(MAX((Warzone!$M$11:$M$42=$B157)*Warzone!$G$11:$G$42)),0)</f>
        <v>0</v>
      </c>
      <c r="P157" s="130" t="n">
        <f aca="false">IFERROR(SUMPRODUCT(MAX((Valorant!$N$11:$N$26=$B157)*Valorant!$H$11:$H$26)),0)</f>
        <v>0</v>
      </c>
      <c r="Q157" s="130" t="n">
        <f aca="false">IFERROR(SUMPRODUCT(MAX(('MLBB (MSC)'!$M$11:$M$35=$B157)*'MLBB (MSC)'!$G$11:$G$35)),0)</f>
        <v>200</v>
      </c>
      <c r="R157" s="130" t="n">
        <f aca="false">IFERROR(SUMPRODUCT(MAX(('Apex Legends'!$O$11:$O$50=$B157)*'Apex Legends'!$I$11:$I$50)),0)</f>
        <v>0</v>
      </c>
      <c r="S157" s="130" t="n">
        <f aca="false">IFERROR(SUMPRODUCT(MAX(('Honor of Kings'!$N$11:$N$30=$B157)*'Honor of Kings'!$H$11:$H$30)),0)</f>
        <v>0</v>
      </c>
      <c r="T157" s="130" t="n">
        <f aca="false">IFERROR(SUMPRODUCT(MAX((CrossFire!$L$11:$L$26=$B157)*CrossFire!$F$11:$F$26)),0)</f>
        <v>0</v>
      </c>
      <c r="U157" s="130" t="n">
        <f aca="false">IFERROR(SUMPRODUCT(MAX(('Free Fire'!$M$11:$M$34=$B157)*'Free Fire'!$G$11:$G$34)),0)</f>
        <v>0</v>
      </c>
      <c r="V157" s="130" t="n">
        <f aca="false">IFERROR(SUMPRODUCT(MAX(('EA FC 26'!$N$11:$N$46=$B157)*'EA FC 26'!$H$11:$H$46)),0)</f>
        <v>0</v>
      </c>
      <c r="W157" s="130" t="n">
        <f aca="false">IFERROR(SUMPRODUCT(MAX(('Black Ops 7'!$O$11:$O$26=$B157)*'Black Ops 7'!$J$11:$J$26)),0)</f>
        <v>0</v>
      </c>
      <c r="X157" s="130" t="n">
        <f aca="false">IFERROR(SUMPRODUCT(MAX(('Rocket League'!$P$11:$P$26=$B157)*'Rocket League'!$J$11:$J$26)),0)</f>
        <v>0</v>
      </c>
      <c r="Y157" s="130" t="n">
        <f aca="false">IFERROR(SUMPRODUCT(MAX(('Overwatch 2'!$L$11:$L$26=$B157)*'Overwatch 2'!$F$11:$F$26)),0)</f>
        <v>0</v>
      </c>
      <c r="Z157" s="130" t="n">
        <f aca="false">IFERROR(SUMPRODUCT(MAX((PUBG!$L$11:$L$34=$B157)*PUBG!$F$11:$F$34)),0)</f>
        <v>0</v>
      </c>
      <c r="AA157" s="130" t="n">
        <f aca="false">IFERROR(SUMPRODUCT(MAX(('MLBB Women'!$L$11:$L$26=$B157)*'MLBB Women'!$F$11:$F$26)),0)</f>
        <v>0</v>
      </c>
      <c r="AB157" s="130" t="n">
        <f aca="false">SUM(C157:AA157)</f>
        <v>200</v>
      </c>
      <c r="AC157" s="130" t="n">
        <v>200</v>
      </c>
      <c r="AD157" s="200" t="n">
        <f aca="false">AB157-AC157</f>
        <v>0</v>
      </c>
      <c r="AE157" s="82" t="str">
        <f aca="false">IF(AB157=0,"not started",IF(AD157=0,"reconciled",IF(AD157&gt;0,"CHECK NAMES","in progress")))</f>
        <v>reconciled</v>
      </c>
    </row>
    <row r="158" customFormat="false" ht="15" hidden="false" customHeight="true" outlineLevel="0" collapsed="false">
      <c r="B158" s="92" t="s">
        <v>602</v>
      </c>
      <c r="C158" s="130" t="n">
        <f aca="false">IFERROR(SUMIF(CS2!$L$11:$L$42,$B158,CS2!$F$11:$F$42),0)</f>
        <v>0</v>
      </c>
      <c r="D158" s="130" t="n">
        <f aca="false">IFERROR(SUMPRODUCT(MAX((Chess!$L$11:$L$32=$B158)*Chess!$F$11:$F$32)),0)</f>
        <v>0</v>
      </c>
      <c r="E158" s="130" t="n">
        <f aca="false">IFERROR(SUMPRODUCT(MAX((LoL!$L$11:$L$26=$B158)*LoL!$F$11:$F$26)),0)</f>
        <v>0</v>
      </c>
      <c r="F158" s="130" t="n">
        <f aca="false">IFERROR(SUMPRODUCT(MAX(('PUBG Mobile'!$L$11:$L$42=$B158)*'PUBG Mobile'!$F$11:$F$42)),0)</f>
        <v>200</v>
      </c>
      <c r="G158" s="130" t="n">
        <f aca="false">IFERROR(SUMPRODUCT(MAX(('Fortnite Reload'!$L$11:$L$50=$B158)*'Fortnite Reload'!$F$11:$F$50)),0)</f>
        <v>0</v>
      </c>
      <c r="H158" s="130" t="n">
        <f aca="false">IFERROR(SUMPRODUCT(MAX((Trackmania!$M$11:$M$42=$B158)*Trackmania!$G$11:$G$42)),0)</f>
        <v>0</v>
      </c>
      <c r="I158" s="130" t="n">
        <f aca="false">IFERROR(SUMPRODUCT(MAX(('Dota 2'!$N$11:$N$34=$B158)*'Dota 2'!$H$11:$H$34)),0)</f>
        <v>0</v>
      </c>
      <c r="J158" s="130" t="n">
        <f aca="false">IFERROR(SUMPRODUCT(MAX(('Tekken 8'!$N$11:$N$42=$B158)*'Tekken 8'!$H$11:$H$42)),0)</f>
        <v>0</v>
      </c>
      <c r="K158" s="130" t="n">
        <f aca="false">IFERROR(SUMPRODUCT(MAX(('Street Fighter 6'!$O$11:$O$42=$B158)*'Street Fighter 6'!$I$11:$I$42)),0)</f>
        <v>0</v>
      </c>
      <c r="L158" s="130" t="n">
        <f aca="false">IFERROR(SUMPRODUCT(MAX(('Fatal Fury CotW'!$L$11:$L$42=$B158)*'Fatal Fury CotW'!$F$11:$F$42)),0)</f>
        <v>0</v>
      </c>
      <c r="M158" s="130" t="n">
        <f aca="false">IFERROR(SUMPRODUCT(MAX((TFT!$N$11:$N$26=$B158)*TFT!$H$11:$H$26)),0)</f>
        <v>0</v>
      </c>
      <c r="N158" s="130" t="n">
        <f aca="false">IFERROR(SUMPRODUCT(MAX(('Rainbow Six'!$P$11:$P$32=$B158)*'Rainbow Six'!$J$11:$J$32)),0)</f>
        <v>0</v>
      </c>
      <c r="O158" s="130" t="n">
        <f aca="false">IFERROR(SUMPRODUCT(MAX((Warzone!$M$11:$M$42=$B158)*Warzone!$G$11:$G$42)),0)</f>
        <v>0</v>
      </c>
      <c r="P158" s="130" t="n">
        <f aca="false">IFERROR(SUMPRODUCT(MAX((Valorant!$N$11:$N$26=$B158)*Valorant!$H$11:$H$26)),0)</f>
        <v>0</v>
      </c>
      <c r="Q158" s="130" t="n">
        <f aca="false">IFERROR(SUMPRODUCT(MAX(('MLBB (MSC)'!$M$11:$M$35=$B158)*'MLBB (MSC)'!$G$11:$G$35)),0)</f>
        <v>0</v>
      </c>
      <c r="R158" s="130" t="n">
        <f aca="false">IFERROR(SUMPRODUCT(MAX(('Apex Legends'!$O$11:$O$50=$B158)*'Apex Legends'!$I$11:$I$50)),0)</f>
        <v>0</v>
      </c>
      <c r="S158" s="130" t="n">
        <f aca="false">IFERROR(SUMPRODUCT(MAX(('Honor of Kings'!$N$11:$N$30=$B158)*'Honor of Kings'!$H$11:$H$30)),0)</f>
        <v>0</v>
      </c>
      <c r="T158" s="130" t="n">
        <f aca="false">IFERROR(SUMPRODUCT(MAX((CrossFire!$L$11:$L$26=$B158)*CrossFire!$F$11:$F$26)),0)</f>
        <v>0</v>
      </c>
      <c r="U158" s="130" t="n">
        <f aca="false">IFERROR(SUMPRODUCT(MAX(('Free Fire'!$M$11:$M$34=$B158)*'Free Fire'!$G$11:$G$34)),0)</f>
        <v>0</v>
      </c>
      <c r="V158" s="130" t="n">
        <f aca="false">IFERROR(SUMPRODUCT(MAX(('EA FC 26'!$N$11:$N$46=$B158)*'EA FC 26'!$H$11:$H$46)),0)</f>
        <v>0</v>
      </c>
      <c r="W158" s="130" t="n">
        <f aca="false">IFERROR(SUMPRODUCT(MAX(('Black Ops 7'!$O$11:$O$26=$B158)*'Black Ops 7'!$J$11:$J$26)),0)</f>
        <v>0</v>
      </c>
      <c r="X158" s="130" t="n">
        <f aca="false">IFERROR(SUMPRODUCT(MAX(('Rocket League'!$P$11:$P$26=$B158)*'Rocket League'!$J$11:$J$26)),0)</f>
        <v>0</v>
      </c>
      <c r="Y158" s="130" t="n">
        <f aca="false">IFERROR(SUMPRODUCT(MAX(('Overwatch 2'!$L$11:$L$26=$B158)*'Overwatch 2'!$F$11:$F$26)),0)</f>
        <v>0</v>
      </c>
      <c r="Z158" s="130" t="n">
        <f aca="false">IFERROR(SUMPRODUCT(MAX((PUBG!$L$11:$L$34=$B158)*PUBG!$F$11:$F$34)),0)</f>
        <v>0</v>
      </c>
      <c r="AA158" s="130" t="n">
        <f aca="false">IFERROR(SUMPRODUCT(MAX(('MLBB Women'!$L$11:$L$26=$B158)*'MLBB Women'!$F$11:$F$26)),0)</f>
        <v>0</v>
      </c>
      <c r="AB158" s="130" t="n">
        <f aca="false">SUM(C158:AA158)</f>
        <v>200</v>
      </c>
      <c r="AC158" s="130" t="n">
        <v>200</v>
      </c>
      <c r="AD158" s="200" t="n">
        <f aca="false">AB158-AC158</f>
        <v>0</v>
      </c>
      <c r="AE158" s="82" t="str">
        <f aca="false">IF(AB158=0,"not started",IF(AD158=0,"reconciled",IF(AD158&gt;0,"CHECK NAMES","in progress")))</f>
        <v>reconciled</v>
      </c>
    </row>
    <row r="159" customFormat="false" ht="15" hidden="false" customHeight="true" outlineLevel="0" collapsed="false">
      <c r="B159" s="92" t="s">
        <v>610</v>
      </c>
      <c r="C159" s="130" t="n">
        <f aca="false">IFERROR(SUMIF(CS2!$L$11:$L$42,$B159,CS2!$F$11:$F$42),0)</f>
        <v>0</v>
      </c>
      <c r="D159" s="130" t="n">
        <f aca="false">IFERROR(SUMPRODUCT(MAX((Chess!$L$11:$L$32=$B159)*Chess!$F$11:$F$32)),0)</f>
        <v>0</v>
      </c>
      <c r="E159" s="130" t="n">
        <f aca="false">IFERROR(SUMPRODUCT(MAX((LoL!$L$11:$L$26=$B159)*LoL!$F$11:$F$26)),0)</f>
        <v>0</v>
      </c>
      <c r="F159" s="130" t="n">
        <f aca="false">IFERROR(SUMPRODUCT(MAX(('PUBG Mobile'!$L$11:$L$42=$B159)*'PUBG Mobile'!$F$11:$F$42)),0)</f>
        <v>150</v>
      </c>
      <c r="G159" s="130" t="n">
        <f aca="false">IFERROR(SUMPRODUCT(MAX(('Fortnite Reload'!$L$11:$L$50=$B159)*'Fortnite Reload'!$F$11:$F$50)),0)</f>
        <v>0</v>
      </c>
      <c r="H159" s="130" t="n">
        <f aca="false">IFERROR(SUMPRODUCT(MAX((Trackmania!$M$11:$M$42=$B159)*Trackmania!$G$11:$G$42)),0)</f>
        <v>0</v>
      </c>
      <c r="I159" s="130" t="n">
        <f aca="false">IFERROR(SUMPRODUCT(MAX(('Dota 2'!$N$11:$N$34=$B159)*'Dota 2'!$H$11:$H$34)),0)</f>
        <v>0</v>
      </c>
      <c r="J159" s="130" t="n">
        <f aca="false">IFERROR(SUMPRODUCT(MAX(('Tekken 8'!$N$11:$N$42=$B159)*'Tekken 8'!$H$11:$H$42)),0)</f>
        <v>0</v>
      </c>
      <c r="K159" s="130" t="n">
        <f aca="false">IFERROR(SUMPRODUCT(MAX(('Street Fighter 6'!$O$11:$O$42=$B159)*'Street Fighter 6'!$I$11:$I$42)),0)</f>
        <v>0</v>
      </c>
      <c r="L159" s="130" t="n">
        <f aca="false">IFERROR(SUMPRODUCT(MAX(('Fatal Fury CotW'!$L$11:$L$42=$B159)*'Fatal Fury CotW'!$F$11:$F$42)),0)</f>
        <v>0</v>
      </c>
      <c r="M159" s="130" t="n">
        <f aca="false">IFERROR(SUMPRODUCT(MAX((TFT!$N$11:$N$26=$B159)*TFT!$H$11:$H$26)),0)</f>
        <v>0</v>
      </c>
      <c r="N159" s="130" t="n">
        <f aca="false">IFERROR(SUMPRODUCT(MAX(('Rainbow Six'!$P$11:$P$32=$B159)*'Rainbow Six'!$J$11:$J$32)),0)</f>
        <v>0</v>
      </c>
      <c r="O159" s="130" t="n">
        <f aca="false">IFERROR(SUMPRODUCT(MAX((Warzone!$M$11:$M$42=$B159)*Warzone!$G$11:$G$42)),0)</f>
        <v>0</v>
      </c>
      <c r="P159" s="130" t="n">
        <f aca="false">IFERROR(SUMPRODUCT(MAX((Valorant!$N$11:$N$26=$B159)*Valorant!$H$11:$H$26)),0)</f>
        <v>0</v>
      </c>
      <c r="Q159" s="130" t="n">
        <f aca="false">IFERROR(SUMPRODUCT(MAX(('MLBB (MSC)'!$M$11:$M$35=$B159)*'MLBB (MSC)'!$G$11:$G$35)),0)</f>
        <v>0</v>
      </c>
      <c r="R159" s="130" t="n">
        <f aca="false">IFERROR(SUMPRODUCT(MAX(('Apex Legends'!$O$11:$O$50=$B159)*'Apex Legends'!$I$11:$I$50)),0)</f>
        <v>0</v>
      </c>
      <c r="S159" s="130" t="n">
        <f aca="false">IFERROR(SUMPRODUCT(MAX(('Honor of Kings'!$N$11:$N$30=$B159)*'Honor of Kings'!$H$11:$H$30)),0)</f>
        <v>0</v>
      </c>
      <c r="T159" s="130" t="n">
        <f aca="false">IFERROR(SUMPRODUCT(MAX((CrossFire!$L$11:$L$26=$B159)*CrossFire!$F$11:$F$26)),0)</f>
        <v>0</v>
      </c>
      <c r="U159" s="130" t="n">
        <f aca="false">IFERROR(SUMPRODUCT(MAX(('Free Fire'!$M$11:$M$34=$B159)*'Free Fire'!$G$11:$G$34)),0)</f>
        <v>0</v>
      </c>
      <c r="V159" s="130" t="n">
        <f aca="false">IFERROR(SUMPRODUCT(MAX(('EA FC 26'!$N$11:$N$46=$B159)*'EA FC 26'!$H$11:$H$46)),0)</f>
        <v>0</v>
      </c>
      <c r="W159" s="130" t="n">
        <f aca="false">IFERROR(SUMPRODUCT(MAX(('Black Ops 7'!$O$11:$O$26=$B159)*'Black Ops 7'!$J$11:$J$26)),0)</f>
        <v>0</v>
      </c>
      <c r="X159" s="130" t="n">
        <f aca="false">IFERROR(SUMPRODUCT(MAX(('Rocket League'!$P$11:$P$26=$B159)*'Rocket League'!$J$11:$J$26)),0)</f>
        <v>0</v>
      </c>
      <c r="Y159" s="130" t="n">
        <f aca="false">IFERROR(SUMPRODUCT(MAX(('Overwatch 2'!$L$11:$L$26=$B159)*'Overwatch 2'!$F$11:$F$26)),0)</f>
        <v>0</v>
      </c>
      <c r="Z159" s="130" t="n">
        <f aca="false">IFERROR(SUMPRODUCT(MAX((PUBG!$L$11:$L$34=$B159)*PUBG!$F$11:$F$34)),0)</f>
        <v>0</v>
      </c>
      <c r="AA159" s="130" t="n">
        <f aca="false">IFERROR(SUMPRODUCT(MAX(('MLBB Women'!$L$11:$L$26=$B159)*'MLBB Women'!$F$11:$F$26)),0)</f>
        <v>0</v>
      </c>
      <c r="AB159" s="130" t="n">
        <f aca="false">SUM(C159:AA159)</f>
        <v>150</v>
      </c>
      <c r="AC159" s="130" t="n">
        <v>150</v>
      </c>
      <c r="AD159" s="200" t="n">
        <f aca="false">AB159-AC159</f>
        <v>0</v>
      </c>
      <c r="AE159" s="82" t="str">
        <f aca="false">IF(AB159=0,"not started",IF(AD159=0,"reconciled",IF(AD159&gt;0,"CHECK NAMES","in progress")))</f>
        <v>reconciled</v>
      </c>
    </row>
    <row r="161" customFormat="false" ht="15" hidden="false" customHeight="true" outlineLevel="0" collapsed="false">
      <c r="B161" s="18" t="s">
        <v>1653</v>
      </c>
    </row>
    <row r="163" customFormat="false" ht="15" hidden="false" customHeight="true" outlineLevel="0" collapsed="false">
      <c r="B163" s="201" t="s">
        <v>1654</v>
      </c>
    </row>
    <row r="164" customFormat="false" ht="15" hidden="false" customHeight="true" outlineLevel="0" collapsed="false">
      <c r="B164" s="18" t="s">
        <v>1655</v>
      </c>
    </row>
    <row r="165" customFormat="false" ht="23.25" hidden="false" customHeight="true" outlineLevel="0" collapsed="false">
      <c r="B165" s="4" t="s">
        <v>418</v>
      </c>
      <c r="C165" s="4" t="s">
        <v>38</v>
      </c>
      <c r="D165" s="4" t="s">
        <v>1656</v>
      </c>
      <c r="E165" s="4" t="s">
        <v>1657</v>
      </c>
      <c r="F165" s="4" t="s">
        <v>1658</v>
      </c>
      <c r="G165" s="4" t="s">
        <v>1659</v>
      </c>
    </row>
    <row r="166" customFormat="false" ht="15" hidden="false" customHeight="true" outlineLevel="0" collapsed="false">
      <c r="B166" s="66" t="s">
        <v>267</v>
      </c>
      <c r="C166" s="15" t="s">
        <v>101</v>
      </c>
      <c r="D166" s="130" t="n">
        <v>300</v>
      </c>
      <c r="E166" s="202" t="n">
        <v>300</v>
      </c>
      <c r="F166" s="16" t="s">
        <v>1660</v>
      </c>
      <c r="G166" s="145" t="s">
        <v>1661</v>
      </c>
      <c r="H166" s="108"/>
    </row>
    <row r="167" customFormat="false" ht="15" hidden="false" customHeight="true" outlineLevel="0" collapsed="false">
      <c r="B167" s="66" t="s">
        <v>255</v>
      </c>
      <c r="C167" s="15" t="s">
        <v>89</v>
      </c>
      <c r="D167" s="130" t="n">
        <v>300</v>
      </c>
      <c r="E167" s="203" t="n">
        <v>200</v>
      </c>
      <c r="F167" s="16" t="s">
        <v>1660</v>
      </c>
      <c r="G167" s="145" t="s">
        <v>1662</v>
      </c>
      <c r="H167" s="204" t="s">
        <v>1663</v>
      </c>
    </row>
    <row r="168" customFormat="false" ht="15" hidden="false" customHeight="true" outlineLevel="0" collapsed="false">
      <c r="B168" s="66" t="s">
        <v>215</v>
      </c>
      <c r="C168" s="15" t="s">
        <v>52</v>
      </c>
      <c r="D168" s="130" t="n">
        <v>200</v>
      </c>
      <c r="E168" s="202" t="n">
        <v>200</v>
      </c>
      <c r="F168" s="16" t="s">
        <v>1664</v>
      </c>
      <c r="G168" s="145" t="s">
        <v>1665</v>
      </c>
      <c r="H168" s="108"/>
    </row>
    <row r="169" customFormat="false" ht="15" hidden="false" customHeight="true" outlineLevel="0" collapsed="false">
      <c r="B169" s="66" t="s">
        <v>163</v>
      </c>
      <c r="C169" s="15" t="s">
        <v>1616</v>
      </c>
      <c r="D169" s="130" t="n">
        <v>300</v>
      </c>
      <c r="E169" s="202" t="n">
        <v>300</v>
      </c>
      <c r="F169" s="16" t="s">
        <v>1664</v>
      </c>
      <c r="G169" s="145" t="s">
        <v>1666</v>
      </c>
      <c r="H169" s="204" t="s">
        <v>1667</v>
      </c>
    </row>
  </sheetData>
  <sheetProtection sheet="true" formatCells="false" selectLockedCells="true" selectUnlockedCell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13"/>
    <col collapsed="false" customWidth="true" hidden="false" outlineLevel="0" max="4" min="4" style="1" width="11"/>
    <col collapsed="false" customWidth="true" hidden="false" outlineLevel="0" max="5" min="5" style="1" width="12"/>
    <col collapsed="false" customWidth="true" hidden="false" outlineLevel="0" max="7" min="7" style="1" width="15"/>
    <col collapsed="false" customWidth="true" hidden="false" outlineLevel="0" max="8" min="8" style="1" width="10"/>
    <col collapsed="false" customWidth="true" hidden="false" outlineLevel="0" max="9" min="9" style="1" width="12"/>
    <col collapsed="false" customWidth="true" hidden="false" outlineLevel="0" max="10" min="10" style="1" width="30"/>
    <col collapsed="false" customWidth="true" hidden="false" outlineLevel="0" max="12" min="12" style="1" width="26"/>
  </cols>
  <sheetData>
    <row r="2" customFormat="false" ht="18" hidden="false" customHeight="true" outlineLevel="0" collapsed="false">
      <c r="B2" s="2" t="s">
        <v>1668</v>
      </c>
    </row>
    <row r="3" customFormat="false" ht="15" hidden="false" customHeight="true" outlineLevel="0" collapsed="false">
      <c r="B3" s="93" t="s">
        <v>1669</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1670</v>
      </c>
      <c r="D6" s="28" t="s">
        <v>549</v>
      </c>
      <c r="F6" s="28" t="s">
        <v>998</v>
      </c>
      <c r="H6" s="28" t="s">
        <v>1671</v>
      </c>
      <c r="J6" s="28" t="s">
        <v>1672</v>
      </c>
      <c r="L6" s="28" t="s">
        <v>553</v>
      </c>
    </row>
    <row r="8" customFormat="false" ht="15" hidden="false" customHeight="true" outlineLevel="0" collapsed="false">
      <c r="B8" s="11" t="s">
        <v>416</v>
      </c>
    </row>
    <row r="9" customFormat="false" ht="15" hidden="false" customHeight="true" outlineLevel="0" collapsed="false">
      <c r="B9" s="18" t="s">
        <v>1673</v>
      </c>
    </row>
    <row r="10" customFormat="false" ht="34.5" hidden="false" customHeight="true" outlineLevel="0" collapsed="false">
      <c r="B10" s="4" t="s">
        <v>418</v>
      </c>
      <c r="C10" s="4" t="s">
        <v>1104</v>
      </c>
      <c r="D10" s="4" t="s">
        <v>556</v>
      </c>
      <c r="E10" s="4" t="s">
        <v>421</v>
      </c>
      <c r="F10" s="4" t="s">
        <v>422</v>
      </c>
      <c r="G10" s="4" t="s">
        <v>423</v>
      </c>
      <c r="H10" s="4" t="s">
        <v>424</v>
      </c>
      <c r="I10" s="4" t="s">
        <v>425</v>
      </c>
      <c r="J10" s="4" t="s">
        <v>41</v>
      </c>
      <c r="L10" s="4" t="s">
        <v>426</v>
      </c>
    </row>
    <row r="11" customFormat="false" ht="15" hidden="false" customHeight="true" outlineLevel="0" collapsed="false">
      <c r="B11" s="29" t="s">
        <v>208</v>
      </c>
      <c r="C11" s="98" t="s">
        <v>596</v>
      </c>
      <c r="D11" s="98" t="s">
        <v>558</v>
      </c>
      <c r="E11" s="32" t="s">
        <v>427</v>
      </c>
      <c r="F11" s="33" t="n">
        <f aca="false">IF($E11="","",IFERROR(LOOKUP(VALUE(LEFT($E11&amp;"",FIND("-",$E11&amp;"-")-1)),$C$34:$C$39,$D$34:$D$39),""))</f>
        <v>1000</v>
      </c>
      <c r="G11" s="34" t="n">
        <v>1000</v>
      </c>
      <c r="H11" s="35" t="str">
        <f aca="false">IF($G11="","n/a",IF($F11=$G11,"ok","MISMATCH"))</f>
        <v>ok</v>
      </c>
      <c r="I11" s="36" t="n">
        <v>400000</v>
      </c>
      <c r="J11" s="100" t="s">
        <v>1674</v>
      </c>
      <c r="L11" s="38" t="s">
        <v>208</v>
      </c>
    </row>
    <row r="12" customFormat="false" ht="15" hidden="false" customHeight="true" outlineLevel="0" collapsed="false">
      <c r="B12" s="39" t="s">
        <v>134</v>
      </c>
      <c r="C12" s="101" t="s">
        <v>1050</v>
      </c>
      <c r="D12" s="101" t="s">
        <v>560</v>
      </c>
      <c r="E12" s="42" t="s">
        <v>428</v>
      </c>
      <c r="F12" s="43" t="n">
        <f aca="false">IF($E12="","",IFERROR(LOOKUP(VALUE(LEFT($E12&amp;"",FIND("-",$E12&amp;"-")-1)),$C$34:$C$39,$D$34:$D$39),""))</f>
        <v>750</v>
      </c>
      <c r="G12" s="44" t="n">
        <v>750</v>
      </c>
      <c r="H12" s="45" t="str">
        <f aca="false">IF($G12="","n/a",IF($F12=$G12,"ok","MISMATCH"))</f>
        <v>ok</v>
      </c>
      <c r="I12" s="46" t="n">
        <v>180000</v>
      </c>
      <c r="J12" s="103" t="s">
        <v>1675</v>
      </c>
      <c r="L12" s="38" t="s">
        <v>134</v>
      </c>
    </row>
    <row r="13" customFormat="false" ht="15" hidden="false" customHeight="true" outlineLevel="0" collapsed="false">
      <c r="B13" s="48" t="s">
        <v>173</v>
      </c>
      <c r="C13" s="104" t="s">
        <v>596</v>
      </c>
      <c r="D13" s="104" t="s">
        <v>560</v>
      </c>
      <c r="E13" s="51" t="s">
        <v>430</v>
      </c>
      <c r="F13" s="52" t="n">
        <f aca="false">IF($E13="","",IFERROR(LOOKUP(VALUE(LEFT($E13&amp;"",FIND("-",$E13&amp;"-")-1)),$C$34:$C$39,$D$34:$D$39),""))</f>
        <v>500</v>
      </c>
      <c r="G13" s="53" t="n">
        <v>500</v>
      </c>
      <c r="H13" s="54" t="str">
        <f aca="false">IF($G13="","n/a",IF($F13=$G13,"ok","MISMATCH"))</f>
        <v>ok</v>
      </c>
      <c r="I13" s="55" t="n">
        <v>100000</v>
      </c>
      <c r="J13" s="105" t="s">
        <v>1676</v>
      </c>
      <c r="L13" s="38" t="s">
        <v>173</v>
      </c>
    </row>
    <row r="14" customFormat="false" ht="15" hidden="false" customHeight="true" outlineLevel="0" collapsed="false">
      <c r="B14" s="57" t="s">
        <v>150</v>
      </c>
      <c r="C14" s="106" t="s">
        <v>603</v>
      </c>
      <c r="D14" s="106" t="s">
        <v>558</v>
      </c>
      <c r="E14" s="60" t="s">
        <v>431</v>
      </c>
      <c r="F14" s="61" t="n">
        <f aca="false">IF($E14="","",IFERROR(LOOKUP(VALUE(LEFT($E14&amp;"",FIND("-",$E14&amp;"-")-1)),$C$34:$C$39,$D$34:$D$39),""))</f>
        <v>300</v>
      </c>
      <c r="G14" s="62" t="n">
        <v>300</v>
      </c>
      <c r="H14" s="63" t="str">
        <f aca="false">IF($G14="","n/a",IF($F14=$G14,"ok","MISMATCH"))</f>
        <v>ok</v>
      </c>
      <c r="I14" s="64" t="n">
        <v>60000</v>
      </c>
      <c r="J14" s="107" t="s">
        <v>1677</v>
      </c>
      <c r="L14" s="38" t="s">
        <v>150</v>
      </c>
    </row>
    <row r="15" customFormat="false" ht="15" hidden="false" customHeight="true" outlineLevel="0" collapsed="false">
      <c r="B15" s="57" t="s">
        <v>163</v>
      </c>
      <c r="C15" s="106" t="s">
        <v>1050</v>
      </c>
      <c r="D15" s="106" t="s">
        <v>560</v>
      </c>
      <c r="E15" s="60" t="s">
        <v>432</v>
      </c>
      <c r="F15" s="61" t="n">
        <f aca="false">IF($E15="","",IFERROR(LOOKUP(VALUE(LEFT($E15&amp;"",FIND("-",$E15&amp;"-")-1)),$C$34:$C$39,$D$34:$D$39),""))</f>
        <v>200</v>
      </c>
      <c r="G15" s="62" t="n">
        <v>200</v>
      </c>
      <c r="H15" s="63" t="str">
        <f aca="false">IF($G15="","n/a",IF($F15=$G15,"ok","MISMATCH"))</f>
        <v>ok</v>
      </c>
      <c r="I15" s="64" t="n">
        <v>35000</v>
      </c>
      <c r="J15" s="107" t="s">
        <v>1678</v>
      </c>
      <c r="L15" s="38" t="s">
        <v>163</v>
      </c>
    </row>
    <row r="16" customFormat="false" ht="15" hidden="false" customHeight="true" outlineLevel="0" collapsed="false">
      <c r="B16" s="57" t="s">
        <v>332</v>
      </c>
      <c r="C16" s="106" t="s">
        <v>1525</v>
      </c>
      <c r="D16" s="106" t="s">
        <v>560</v>
      </c>
      <c r="E16" s="60" t="s">
        <v>432</v>
      </c>
      <c r="F16" s="61" t="n">
        <f aca="false">IF($E16="","",IFERROR(LOOKUP(VALUE(LEFT($E16&amp;"",FIND("-",$E16&amp;"-")-1)),$C$34:$C$39,$D$34:$D$39),""))</f>
        <v>200</v>
      </c>
      <c r="G16" s="62" t="n">
        <v>200</v>
      </c>
      <c r="H16" s="63" t="str">
        <f aca="false">IF($G16="","n/a",IF($F16=$G16,"ok","MISMATCH"))</f>
        <v>ok</v>
      </c>
      <c r="I16" s="64" t="n">
        <v>35000</v>
      </c>
      <c r="J16" s="107" t="s">
        <v>1679</v>
      </c>
      <c r="L16" s="38" t="s">
        <v>332</v>
      </c>
    </row>
    <row r="17" customFormat="false" ht="15" hidden="false" customHeight="true" outlineLevel="0" collapsed="false">
      <c r="B17" s="57" t="s">
        <v>1651</v>
      </c>
      <c r="C17" s="106" t="s">
        <v>1525</v>
      </c>
      <c r="D17" s="106" t="s">
        <v>558</v>
      </c>
      <c r="E17" s="60" t="s">
        <v>432</v>
      </c>
      <c r="F17" s="61" t="n">
        <f aca="false">IF($E17="","",IFERROR(LOOKUP(VALUE(LEFT($E17&amp;"",FIND("-",$E17&amp;"-")-1)),$C$34:$C$39,$D$34:$D$39),""))</f>
        <v>200</v>
      </c>
      <c r="G17" s="62" t="n">
        <v>200</v>
      </c>
      <c r="H17" s="63" t="str">
        <f aca="false">IF($G17="","n/a",IF($F17=$G17,"ok","MISMATCH"))</f>
        <v>ok</v>
      </c>
      <c r="I17" s="64" t="n">
        <v>35000</v>
      </c>
      <c r="J17" s="107" t="s">
        <v>1680</v>
      </c>
      <c r="L17" s="38" t="s">
        <v>1651</v>
      </c>
    </row>
    <row r="18" customFormat="false" ht="15" hidden="false" customHeight="true" outlineLevel="0" collapsed="false">
      <c r="B18" s="57" t="s">
        <v>237</v>
      </c>
      <c r="C18" s="106" t="s">
        <v>596</v>
      </c>
      <c r="D18" s="106" t="s">
        <v>558</v>
      </c>
      <c r="E18" s="60" t="s">
        <v>432</v>
      </c>
      <c r="F18" s="61" t="n">
        <f aca="false">IF($E18="","",IFERROR(LOOKUP(VALUE(LEFT($E18&amp;"",FIND("-",$E18&amp;"-")-1)),$C$34:$C$39,$D$34:$D$39),""))</f>
        <v>200</v>
      </c>
      <c r="G18" s="62" t="n">
        <v>200</v>
      </c>
      <c r="H18" s="63" t="str">
        <f aca="false">IF($G18="","n/a",IF($F18=$G18,"ok","MISMATCH"))</f>
        <v>ok</v>
      </c>
      <c r="I18" s="64" t="n">
        <v>35000</v>
      </c>
      <c r="J18" s="107" t="s">
        <v>1681</v>
      </c>
      <c r="L18" s="38" t="s">
        <v>237</v>
      </c>
    </row>
    <row r="19" customFormat="false" ht="15" hidden="false" customHeight="true" outlineLevel="0" collapsed="false">
      <c r="B19" s="29" t="s">
        <v>114</v>
      </c>
      <c r="C19" s="98" t="s">
        <v>1682</v>
      </c>
      <c r="D19" s="99" t="s">
        <v>560</v>
      </c>
      <c r="E19" s="32" t="s">
        <v>506</v>
      </c>
      <c r="F19" s="33" t="n">
        <f aca="false">IF($E19="","",IFERROR(LOOKUP(VALUE(LEFT($E19&amp;"",FIND("-",$E19&amp;"-")-1)),$C$34:$C$39,$D$34:$D$39),""))</f>
        <v>0</v>
      </c>
      <c r="G19" s="34" t="n">
        <v>0</v>
      </c>
      <c r="H19" s="35" t="str">
        <f aca="false">IF($G19="","n/a",IF($F19=$G19,"ok","MISMATCH"))</f>
        <v>ok</v>
      </c>
      <c r="I19" s="36" t="n">
        <v>20000</v>
      </c>
      <c r="J19" s="100" t="s">
        <v>1683</v>
      </c>
      <c r="L19" s="38" t="s">
        <v>114</v>
      </c>
    </row>
    <row r="20" customFormat="false" ht="15" hidden="false" customHeight="true" outlineLevel="0" collapsed="false">
      <c r="B20" s="29" t="s">
        <v>123</v>
      </c>
      <c r="C20" s="98" t="s">
        <v>1050</v>
      </c>
      <c r="D20" s="99" t="s">
        <v>558</v>
      </c>
      <c r="E20" s="32" t="s">
        <v>506</v>
      </c>
      <c r="F20" s="33" t="n">
        <f aca="false">IF($E20="","",IFERROR(LOOKUP(VALUE(LEFT($E20&amp;"",FIND("-",$E20&amp;"-")-1)),$C$34:$C$39,$D$34:$D$39),""))</f>
        <v>0</v>
      </c>
      <c r="G20" s="34" t="n">
        <v>0</v>
      </c>
      <c r="H20" s="35" t="str">
        <f aca="false">IF($G20="","n/a",IF($F20=$G20,"ok","MISMATCH"))</f>
        <v>ok</v>
      </c>
      <c r="I20" s="36" t="n">
        <v>20000</v>
      </c>
      <c r="J20" s="100" t="s">
        <v>1684</v>
      </c>
      <c r="L20" s="38" t="s">
        <v>123</v>
      </c>
    </row>
    <row r="21" customFormat="false" ht="15" hidden="false" customHeight="true" outlineLevel="0" collapsed="false">
      <c r="B21" s="29" t="s">
        <v>189</v>
      </c>
      <c r="C21" s="98" t="s">
        <v>603</v>
      </c>
      <c r="D21" s="99" t="s">
        <v>560</v>
      </c>
      <c r="E21" s="32" t="s">
        <v>506</v>
      </c>
      <c r="F21" s="33" t="n">
        <f aca="false">IF($E21="","",IFERROR(LOOKUP(VALUE(LEFT($E21&amp;"",FIND("-",$E21&amp;"-")-1)),$C$34:$C$39,$D$34:$D$39),""))</f>
        <v>0</v>
      </c>
      <c r="G21" s="34" t="n">
        <v>0</v>
      </c>
      <c r="H21" s="35" t="str">
        <f aca="false">IF($G21="","n/a",IF($F21=$G21,"ok","MISMATCH"))</f>
        <v>ok</v>
      </c>
      <c r="I21" s="36" t="n">
        <v>20000</v>
      </c>
      <c r="J21" s="100" t="s">
        <v>1685</v>
      </c>
      <c r="L21" s="38" t="s">
        <v>189</v>
      </c>
    </row>
    <row r="22" customFormat="false" ht="15" hidden="false" customHeight="true" outlineLevel="0" collapsed="false">
      <c r="B22" s="29" t="s">
        <v>265</v>
      </c>
      <c r="C22" s="98" t="s">
        <v>638</v>
      </c>
      <c r="D22" s="99" t="s">
        <v>560</v>
      </c>
      <c r="E22" s="32" t="s">
        <v>506</v>
      </c>
      <c r="F22" s="33" t="n">
        <f aca="false">IF($E22="","",IFERROR(LOOKUP(VALUE(LEFT($E22&amp;"",FIND("-",$E22&amp;"-")-1)),$C$34:$C$39,$D$34:$D$39),""))</f>
        <v>0</v>
      </c>
      <c r="G22" s="34" t="n">
        <v>0</v>
      </c>
      <c r="H22" s="35" t="str">
        <f aca="false">IF($G22="","n/a",IF($F22=$G22,"ok","MISMATCH"))</f>
        <v>ok</v>
      </c>
      <c r="I22" s="36" t="n">
        <v>20000</v>
      </c>
      <c r="J22" s="100" t="s">
        <v>1686</v>
      </c>
      <c r="L22" s="38" t="s">
        <v>265</v>
      </c>
    </row>
    <row r="23" customFormat="false" ht="15" hidden="false" customHeight="true" outlineLevel="0" collapsed="false">
      <c r="B23" s="29" t="s">
        <v>141</v>
      </c>
      <c r="C23" s="98" t="s">
        <v>1525</v>
      </c>
      <c r="D23" s="99" t="s">
        <v>560</v>
      </c>
      <c r="E23" s="32" t="s">
        <v>514</v>
      </c>
      <c r="F23" s="33" t="n">
        <f aca="false">IF($E23="","",IFERROR(LOOKUP(VALUE(LEFT($E23&amp;"",FIND("-",$E23&amp;"-")-1)),$C$34:$C$39,$D$34:$D$39),""))</f>
        <v>0</v>
      </c>
      <c r="G23" s="34" t="n">
        <v>0</v>
      </c>
      <c r="H23" s="35" t="str">
        <f aca="false">IF($G23="","n/a",IF($F23=$G23,"ok","MISMATCH"))</f>
        <v>ok</v>
      </c>
      <c r="I23" s="36" t="n">
        <v>10000</v>
      </c>
      <c r="J23" s="100" t="s">
        <v>1687</v>
      </c>
      <c r="L23" s="38" t="s">
        <v>141</v>
      </c>
    </row>
    <row r="24" customFormat="false" ht="15" hidden="false" customHeight="true" outlineLevel="0" collapsed="false">
      <c r="B24" s="29" t="s">
        <v>1116</v>
      </c>
      <c r="C24" s="98" t="s">
        <v>603</v>
      </c>
      <c r="D24" s="99" t="s">
        <v>560</v>
      </c>
      <c r="E24" s="32" t="s">
        <v>514</v>
      </c>
      <c r="F24" s="33" t="n">
        <f aca="false">IF($E24="","",IFERROR(LOOKUP(VALUE(LEFT($E24&amp;"",FIND("-",$E24&amp;"-")-1)),$C$34:$C$39,$D$34:$D$39),""))</f>
        <v>0</v>
      </c>
      <c r="G24" s="34" t="n">
        <v>0</v>
      </c>
      <c r="H24" s="35" t="str">
        <f aca="false">IF($G24="","n/a",IF($F24=$G24,"ok","MISMATCH"))</f>
        <v>ok</v>
      </c>
      <c r="I24" s="36" t="n">
        <v>10000</v>
      </c>
      <c r="J24" s="100" t="s">
        <v>1688</v>
      </c>
      <c r="L24" s="38" t="s">
        <v>127</v>
      </c>
    </row>
    <row r="25" customFormat="false" ht="15" hidden="false" customHeight="true" outlineLevel="0" collapsed="false">
      <c r="B25" s="29" t="s">
        <v>567</v>
      </c>
      <c r="C25" s="98" t="s">
        <v>1689</v>
      </c>
      <c r="D25" s="99" t="s">
        <v>565</v>
      </c>
      <c r="E25" s="32" t="s">
        <v>514</v>
      </c>
      <c r="F25" s="33" t="n">
        <f aca="false">IF($E25="","",IFERROR(LOOKUP(VALUE(LEFT($E25&amp;"",FIND("-",$E25&amp;"-")-1)),$C$34:$C$39,$D$34:$D$39),""))</f>
        <v>0</v>
      </c>
      <c r="G25" s="34" t="n">
        <v>0</v>
      </c>
      <c r="H25" s="35" t="str">
        <f aca="false">IF($G25="","n/a",IF($F25=$G25,"ok","MISMATCH"))</f>
        <v>ok</v>
      </c>
      <c r="I25" s="36" t="n">
        <v>10000</v>
      </c>
      <c r="J25" s="100" t="s">
        <v>1690</v>
      </c>
      <c r="L25" s="38" t="s">
        <v>567</v>
      </c>
    </row>
    <row r="26" customFormat="false" ht="15" hidden="false" customHeight="true" outlineLevel="0" collapsed="false">
      <c r="B26" s="29" t="s">
        <v>154</v>
      </c>
      <c r="C26" s="98" t="s">
        <v>1074</v>
      </c>
      <c r="D26" s="99" t="s">
        <v>565</v>
      </c>
      <c r="E26" s="32" t="s">
        <v>514</v>
      </c>
      <c r="F26" s="33" t="n">
        <f aca="false">IF($E26="","",IFERROR(LOOKUP(VALUE(LEFT($E26&amp;"",FIND("-",$E26&amp;"-")-1)),$C$34:$C$39,$D$34:$D$39),""))</f>
        <v>0</v>
      </c>
      <c r="G26" s="34" t="n">
        <v>0</v>
      </c>
      <c r="H26" s="35" t="str">
        <f aca="false">IF($G26="","n/a",IF($F26=$G26,"ok","MISMATCH"))</f>
        <v>ok</v>
      </c>
      <c r="I26" s="36" t="n">
        <v>10000</v>
      </c>
      <c r="J26" s="100" t="s">
        <v>1691</v>
      </c>
      <c r="L26" s="38" t="s">
        <v>154</v>
      </c>
    </row>
    <row r="28" customFormat="false" ht="15" hidden="false" customHeight="true" outlineLevel="0" collapsed="false">
      <c r="B28" s="11" t="s">
        <v>459</v>
      </c>
      <c r="F28" s="77" t="n">
        <f aca="false">SUM(F11:F26)</f>
        <v>3350</v>
      </c>
    </row>
    <row r="29" customFormat="false" ht="15" hidden="false" customHeight="true" outlineLevel="0" collapsed="false">
      <c r="B29" s="18" t="s">
        <v>1692</v>
      </c>
    </row>
    <row r="31" customFormat="false" ht="15" hidden="false" customHeight="true" outlineLevel="0" collapsed="false">
      <c r="B31" s="11" t="s">
        <v>461</v>
      </c>
    </row>
    <row r="32" customFormat="false" ht="15" hidden="false" customHeight="true" outlineLevel="0" collapsed="false">
      <c r="B32" s="78" t="s">
        <v>1693</v>
      </c>
    </row>
    <row r="33" customFormat="false" ht="15" hidden="false" customHeight="true" outlineLevel="0" collapsed="false">
      <c r="C33" s="4" t="s">
        <v>463</v>
      </c>
      <c r="D33" s="4" t="s">
        <v>464</v>
      </c>
      <c r="E33" s="1" t="s">
        <v>465</v>
      </c>
    </row>
    <row r="34" customFormat="false" ht="15" hidden="false" customHeight="true" outlineLevel="0" collapsed="false">
      <c r="C34" s="13" t="n">
        <v>1</v>
      </c>
      <c r="D34" s="79" t="n">
        <v>1000</v>
      </c>
      <c r="E34" s="80" t="s">
        <v>466</v>
      </c>
    </row>
    <row r="35" customFormat="false" ht="15" hidden="false" customHeight="true" outlineLevel="0" collapsed="false">
      <c r="C35" s="13" t="n">
        <v>2</v>
      </c>
      <c r="D35" s="79" t="n">
        <v>750</v>
      </c>
      <c r="E35" s="80" t="s">
        <v>467</v>
      </c>
    </row>
    <row r="36" customFormat="false" ht="15" hidden="false" customHeight="true" outlineLevel="0" collapsed="false">
      <c r="C36" s="13" t="n">
        <v>3</v>
      </c>
      <c r="D36" s="79" t="n">
        <v>500</v>
      </c>
      <c r="E36" s="80" t="s">
        <v>468</v>
      </c>
    </row>
    <row r="37" customFormat="false" ht="15" hidden="false" customHeight="true" outlineLevel="0" collapsed="false">
      <c r="C37" s="13" t="n">
        <v>4</v>
      </c>
      <c r="D37" s="79" t="n">
        <v>300</v>
      </c>
      <c r="E37" s="80" t="s">
        <v>469</v>
      </c>
    </row>
    <row r="38" customFormat="false" ht="15" hidden="false" customHeight="true" outlineLevel="0" collapsed="false">
      <c r="C38" s="13" t="n">
        <v>5</v>
      </c>
      <c r="D38" s="79" t="n">
        <v>200</v>
      </c>
      <c r="E38" s="80" t="s">
        <v>537</v>
      </c>
    </row>
    <row r="39" customFormat="false" ht="15" hidden="false" customHeight="true" outlineLevel="0" collapsed="false">
      <c r="C39" s="13" t="n">
        <v>9</v>
      </c>
      <c r="D39" s="79" t="n">
        <v>0</v>
      </c>
      <c r="E39" s="80" t="s">
        <v>1694</v>
      </c>
    </row>
    <row r="41" customFormat="false" ht="15" hidden="false" customHeight="true" outlineLevel="0" collapsed="false">
      <c r="B41" s="11" t="s">
        <v>1695</v>
      </c>
    </row>
    <row r="42" customFormat="false" ht="15" hidden="false" customHeight="true" outlineLevel="0" collapsed="false">
      <c r="B42" s="93" t="s">
        <v>1696</v>
      </c>
    </row>
    <row r="43" customFormat="false" ht="15" hidden="false" customHeight="true" outlineLevel="0" collapsed="false">
      <c r="B43" s="93" t="s">
        <v>1697</v>
      </c>
    </row>
    <row r="44" customFormat="false" ht="15" hidden="false" customHeight="true" outlineLevel="0" collapsed="false">
      <c r="B44" s="93" t="s">
        <v>1698</v>
      </c>
    </row>
    <row r="46" customFormat="false" ht="34.5" hidden="false" customHeight="true" outlineLevel="0" collapsed="false">
      <c r="B46" s="4" t="s">
        <v>556</v>
      </c>
      <c r="C46" s="4" t="s">
        <v>1699</v>
      </c>
      <c r="D46" s="4" t="s">
        <v>573</v>
      </c>
      <c r="E46" s="4" t="s">
        <v>1700</v>
      </c>
      <c r="F46" s="4" t="s">
        <v>1701</v>
      </c>
    </row>
    <row r="47" customFormat="false" ht="15" hidden="false" customHeight="true" outlineLevel="0" collapsed="false">
      <c r="B47" s="110" t="s">
        <v>558</v>
      </c>
      <c r="C47" s="14" t="n">
        <v>3</v>
      </c>
      <c r="D47" s="13" t="n">
        <f aca="false">COUNTIF($D$11:$D$26,$B47)</f>
        <v>5</v>
      </c>
      <c r="E47" s="205" t="n">
        <f aca="false">IFERROR($C47*$D47/$D$51,"")</f>
        <v>0.604838709677419</v>
      </c>
      <c r="F47" s="205" t="n">
        <f aca="false">IFERROR($C47/$D$51,"")</f>
        <v>0.120967741935484</v>
      </c>
    </row>
    <row r="48" customFormat="false" ht="15" hidden="false" customHeight="true" outlineLevel="0" collapsed="false">
      <c r="B48" s="110" t="s">
        <v>560</v>
      </c>
      <c r="C48" s="14" t="n">
        <v>1</v>
      </c>
      <c r="D48" s="13" t="n">
        <f aca="false">COUNTIF($D$11:$D$26,$B48)</f>
        <v>9</v>
      </c>
      <c r="E48" s="205" t="n">
        <f aca="false">IFERROR($C48*$D48/$D$51,"")</f>
        <v>0.362903225806452</v>
      </c>
      <c r="F48" s="205" t="n">
        <f aca="false">IFERROR($C48/$D$51,"")</f>
        <v>0.0403225806451613</v>
      </c>
    </row>
    <row r="49" customFormat="false" ht="15" hidden="false" customHeight="true" outlineLevel="0" collapsed="false">
      <c r="B49" s="110" t="s">
        <v>565</v>
      </c>
      <c r="C49" s="14" t="n">
        <v>0.4</v>
      </c>
      <c r="D49" s="13" t="n">
        <f aca="false">COUNTIF($D$11:$D$26,$B49)</f>
        <v>2</v>
      </c>
      <c r="E49" s="205" t="n">
        <f aca="false">IFERROR($C49*$D49/$D$51,"")</f>
        <v>0.032258064516129</v>
      </c>
      <c r="F49" s="205" t="n">
        <f aca="false">IFERROR($C49/$D$51,"")</f>
        <v>0.0161290322580645</v>
      </c>
    </row>
    <row r="51" customFormat="false" ht="15" hidden="false" customHeight="true" outlineLevel="0" collapsed="false">
      <c r="B51" s="11" t="s">
        <v>1702</v>
      </c>
      <c r="D51" s="77" t="n">
        <f aca="false">SUMPRODUCT($C$47:$C$49,$D$47:$D$49)</f>
        <v>24.8</v>
      </c>
    </row>
    <row r="53" customFormat="false" ht="15" hidden="false" customHeight="true" outlineLevel="0" collapsed="false">
      <c r="B53" s="116" t="s">
        <v>581</v>
      </c>
      <c r="D53" s="14" t="n">
        <v>45</v>
      </c>
    </row>
    <row r="54" customFormat="false" ht="15" hidden="false" customHeight="true" outlineLevel="0" collapsed="false">
      <c r="B54" s="116" t="s">
        <v>582</v>
      </c>
      <c r="D54" s="14" t="n">
        <v>16</v>
      </c>
    </row>
    <row r="55" customFormat="false" ht="15" hidden="false" customHeight="true" outlineLevel="0" collapsed="false">
      <c r="B55" s="116" t="s">
        <v>1703</v>
      </c>
      <c r="D55" s="206" t="n">
        <f aca="false">$D$53/50</f>
        <v>0.9</v>
      </c>
    </row>
    <row r="58" customFormat="false" ht="15" hidden="false" customHeight="true" outlineLevel="0" collapsed="false">
      <c r="B58" s="18" t="s">
        <v>1704</v>
      </c>
    </row>
    <row r="59" customFormat="false" ht="15" hidden="false" customHeight="true" outlineLevel="0" collapsed="false">
      <c r="B59" s="18" t="s">
        <v>1705</v>
      </c>
    </row>
  </sheetData>
  <sheetProtection sheet="true"/>
  <dataValidations count="3">
    <dataValidation allowBlank="true" errorStyle="stop" operator="between" showDropDown="false" showErrorMessage="false" showInputMessage="false" sqref="D11:D26" type="list">
      <formula1>"High,Medium,Low"</formula1>
      <formula2>0</formula2>
    </dataValidation>
    <dataValidation allowBlank="true" errorStyle="stop" operator="between" showDropDown="false" showErrorMessage="false" showInputMessage="false" sqref="E11:E26" type="list">
      <formula1>"1,2,3,4,5-8,9-12,13-16"</formula1>
      <formula2>0</formula2>
    </dataValidation>
    <dataValidation allowBlank="true" errorStyle="stop" operator="between" showDropDown="false" showErrorMessage="false" showInputMessage="false" sqref="C11:C26" type="list">
      <formula1>"Korea,Japan,Pacific,NA,EMEA,China,South America,Title defender"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13"/>
    <col collapsed="false" customWidth="true" hidden="false" outlineLevel="0" max="4" min="4" style="1" width="11"/>
    <col collapsed="false" customWidth="true" hidden="false" outlineLevel="0" max="5" min="5" style="1" width="12"/>
    <col collapsed="false" customWidth="true" hidden="false" outlineLevel="0" max="7" min="7" style="1" width="15"/>
    <col collapsed="false" customWidth="true" hidden="false" outlineLevel="0" max="8" min="8" style="1" width="10"/>
    <col collapsed="false" customWidth="true" hidden="false" outlineLevel="0" max="9" min="9" style="1" width="12"/>
    <col collapsed="false" customWidth="true" hidden="false" outlineLevel="0" max="10" min="10" style="1" width="30"/>
    <col collapsed="false" customWidth="true" hidden="false" outlineLevel="0" max="12" min="12" style="1" width="26"/>
  </cols>
  <sheetData>
    <row r="2" customFormat="false" ht="18" hidden="false" customHeight="true" outlineLevel="0" collapsed="false">
      <c r="B2" s="2" t="s">
        <v>1706</v>
      </c>
    </row>
    <row r="3" customFormat="false" ht="15" hidden="false" customHeight="true" outlineLevel="0" collapsed="false">
      <c r="B3" s="93" t="s">
        <v>1707</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1708</v>
      </c>
      <c r="D6" s="28" t="s">
        <v>839</v>
      </c>
      <c r="F6" s="28" t="s">
        <v>1709</v>
      </c>
      <c r="H6" s="28" t="s">
        <v>1710</v>
      </c>
      <c r="J6" s="28" t="s">
        <v>1711</v>
      </c>
      <c r="L6" s="28" t="s">
        <v>1712</v>
      </c>
    </row>
    <row r="8" customFormat="false" ht="15" hidden="false" customHeight="true" outlineLevel="0" collapsed="false">
      <c r="B8" s="11" t="s">
        <v>416</v>
      </c>
    </row>
    <row r="9" customFormat="false" ht="15" hidden="false" customHeight="true" outlineLevel="0" collapsed="false">
      <c r="B9" s="18" t="s">
        <v>1713</v>
      </c>
    </row>
    <row r="10" customFormat="false" ht="34.5" hidden="false" customHeight="true" outlineLevel="0" collapsed="false">
      <c r="B10" s="4" t="s">
        <v>418</v>
      </c>
      <c r="C10" s="4" t="s">
        <v>490</v>
      </c>
      <c r="D10" s="4" t="s">
        <v>556</v>
      </c>
      <c r="E10" s="4" t="s">
        <v>421</v>
      </c>
      <c r="F10" s="4" t="s">
        <v>422</v>
      </c>
      <c r="G10" s="4" t="s">
        <v>423</v>
      </c>
      <c r="H10" s="4" t="s">
        <v>424</v>
      </c>
      <c r="I10" s="4" t="s">
        <v>425</v>
      </c>
      <c r="J10" s="4" t="s">
        <v>41</v>
      </c>
      <c r="L10" s="4" t="s">
        <v>426</v>
      </c>
    </row>
    <row r="11" customFormat="false" ht="15" hidden="false" customHeight="true" outlineLevel="0" collapsed="false">
      <c r="B11" s="29" t="s">
        <v>123</v>
      </c>
      <c r="C11" s="98" t="s">
        <v>1714</v>
      </c>
      <c r="D11" s="98" t="s">
        <v>558</v>
      </c>
      <c r="E11" s="32" t="s">
        <v>427</v>
      </c>
      <c r="F11" s="33" t="n">
        <f aca="false">IF($E11="","",IFERROR(LOOKUP(VALUE(LEFT($E11&amp;"",FIND("-",$E11&amp;"-")-1)),$C$42:$C$50,$D$42:$D$50),""))</f>
        <v>1000</v>
      </c>
      <c r="G11" s="34" t="n">
        <v>1000</v>
      </c>
      <c r="H11" s="35" t="str">
        <f aca="false">IF($G11="","n/a",IF($F11=$G11,"ok","MISMATCH"))</f>
        <v>ok</v>
      </c>
      <c r="I11" s="36" t="n">
        <v>650000</v>
      </c>
      <c r="J11" s="100"/>
      <c r="L11" s="38" t="s">
        <v>123</v>
      </c>
    </row>
    <row r="12" customFormat="false" ht="15" hidden="false" customHeight="true" outlineLevel="0" collapsed="false">
      <c r="B12" s="39" t="s">
        <v>1715</v>
      </c>
      <c r="C12" s="101" t="s">
        <v>1716</v>
      </c>
      <c r="D12" s="101" t="s">
        <v>560</v>
      </c>
      <c r="E12" s="42" t="s">
        <v>428</v>
      </c>
      <c r="F12" s="43" t="n">
        <f aca="false">IF($E12="","",IFERROR(LOOKUP(VALUE(LEFT($E12&amp;"",FIND("-",$E12&amp;"-")-1)),$C$42:$C$50,$D$42:$D$50),""))</f>
        <v>750</v>
      </c>
      <c r="G12" s="44" t="n">
        <v>750</v>
      </c>
      <c r="H12" s="45" t="str">
        <f aca="false">IF($G12="","n/a",IF($F12=$G12,"ok","MISMATCH"))</f>
        <v>ok</v>
      </c>
      <c r="I12" s="46" t="n">
        <v>300000</v>
      </c>
      <c r="J12" s="103" t="s">
        <v>1717</v>
      </c>
      <c r="L12" s="38" t="s">
        <v>169</v>
      </c>
    </row>
    <row r="13" customFormat="false" ht="15" hidden="false" customHeight="true" outlineLevel="0" collapsed="false">
      <c r="B13" s="48" t="s">
        <v>165</v>
      </c>
      <c r="C13" s="104" t="s">
        <v>1714</v>
      </c>
      <c r="D13" s="104" t="s">
        <v>558</v>
      </c>
      <c r="E13" s="51" t="s">
        <v>430</v>
      </c>
      <c r="F13" s="52" t="n">
        <f aca="false">IF($E13="","",IFERROR(LOOKUP(VALUE(LEFT($E13&amp;"",FIND("-",$E13&amp;"-")-1)),$C$42:$C$50,$D$42:$D$50),""))</f>
        <v>500</v>
      </c>
      <c r="G13" s="53" t="n">
        <v>500</v>
      </c>
      <c r="H13" s="54" t="str">
        <f aca="false">IF($G13="","n/a",IF($F13=$G13,"ok","MISMATCH"))</f>
        <v>ok</v>
      </c>
      <c r="I13" s="55" t="n">
        <v>200000</v>
      </c>
      <c r="J13" s="105"/>
      <c r="L13" s="38" t="s">
        <v>165</v>
      </c>
    </row>
    <row r="14" customFormat="false" ht="15" hidden="false" customHeight="true" outlineLevel="0" collapsed="false">
      <c r="B14" s="57" t="s">
        <v>114</v>
      </c>
      <c r="C14" s="106" t="s">
        <v>1718</v>
      </c>
      <c r="D14" s="106" t="s">
        <v>560</v>
      </c>
      <c r="E14" s="60" t="s">
        <v>431</v>
      </c>
      <c r="F14" s="61" t="n">
        <f aca="false">IF($E14="","",IFERROR(LOOKUP(VALUE(LEFT($E14&amp;"",FIND("-",$E14&amp;"-")-1)),$C$42:$C$50,$D$42:$D$50),""))</f>
        <v>300</v>
      </c>
      <c r="G14" s="62" t="n">
        <v>300</v>
      </c>
      <c r="H14" s="63" t="str">
        <f aca="false">IF($G14="","n/a",IF($F14=$G14,"ok","MISMATCH"))</f>
        <v>ok</v>
      </c>
      <c r="I14" s="64" t="n">
        <v>134000</v>
      </c>
      <c r="J14" s="107"/>
      <c r="L14" s="38" t="s">
        <v>114</v>
      </c>
    </row>
    <row r="15" customFormat="false" ht="15" hidden="false" customHeight="true" outlineLevel="0" collapsed="false">
      <c r="B15" s="57" t="s">
        <v>119</v>
      </c>
      <c r="C15" s="106" t="s">
        <v>1719</v>
      </c>
      <c r="D15" s="106" t="s">
        <v>560</v>
      </c>
      <c r="E15" s="60" t="s">
        <v>604</v>
      </c>
      <c r="F15" s="61" t="n">
        <f aca="false">IF($E15="","",IFERROR(LOOKUP(VALUE(LEFT($E15&amp;"",FIND("-",$E15&amp;"-")-1)),$C$42:$C$50,$D$42:$D$50),""))</f>
        <v>200</v>
      </c>
      <c r="G15" s="62" t="n">
        <v>200</v>
      </c>
      <c r="H15" s="63" t="str">
        <f aca="false">IF($G15="","n/a",IF($F15=$G15,"ok","MISMATCH"))</f>
        <v>ok</v>
      </c>
      <c r="I15" s="64"/>
      <c r="J15" s="107"/>
      <c r="L15" s="38" t="s">
        <v>119</v>
      </c>
    </row>
    <row r="16" customFormat="false" ht="15" hidden="false" customHeight="true" outlineLevel="0" collapsed="false">
      <c r="B16" s="57" t="s">
        <v>163</v>
      </c>
      <c r="C16" s="106" t="s">
        <v>1720</v>
      </c>
      <c r="D16" s="106" t="s">
        <v>560</v>
      </c>
      <c r="E16" s="60" t="s">
        <v>608</v>
      </c>
      <c r="F16" s="61" t="n">
        <f aca="false">IF($E16="","",IFERROR(LOOKUP(VALUE(LEFT($E16&amp;"",FIND("-",$E16&amp;"-")-1)),$C$42:$C$50,$D$42:$D$50),""))</f>
        <v>150</v>
      </c>
      <c r="G16" s="62" t="n">
        <v>150</v>
      </c>
      <c r="H16" s="63" t="str">
        <f aca="false">IF($G16="","n/a",IF($F16=$G16,"ok","MISMATCH"))</f>
        <v>ok</v>
      </c>
      <c r="I16" s="64"/>
      <c r="J16" s="107"/>
      <c r="L16" s="38" t="s">
        <v>163</v>
      </c>
    </row>
    <row r="17" customFormat="false" ht="15" hidden="false" customHeight="true" outlineLevel="0" collapsed="false">
      <c r="B17" s="57" t="s">
        <v>161</v>
      </c>
      <c r="C17" s="106" t="s">
        <v>1720</v>
      </c>
      <c r="D17" s="106" t="s">
        <v>560</v>
      </c>
      <c r="E17" s="60" t="s">
        <v>611</v>
      </c>
      <c r="F17" s="61" t="n">
        <f aca="false">IF($E17="","",IFERROR(LOOKUP(VALUE(LEFT($E17&amp;"",FIND("-",$E17&amp;"-")-1)),$C$42:$C$50,$D$42:$D$50),""))</f>
        <v>100</v>
      </c>
      <c r="G17" s="62" t="n">
        <v>100</v>
      </c>
      <c r="H17" s="63" t="str">
        <f aca="false">IF($G17="","n/a",IF($F17=$G17,"ok","MISMATCH"))</f>
        <v>ok</v>
      </c>
      <c r="I17" s="64"/>
      <c r="J17" s="107"/>
      <c r="L17" s="38" t="s">
        <v>161</v>
      </c>
    </row>
    <row r="18" customFormat="false" ht="15" hidden="false" customHeight="true" outlineLevel="0" collapsed="false">
      <c r="B18" s="57" t="s">
        <v>134</v>
      </c>
      <c r="C18" s="106" t="s">
        <v>1682</v>
      </c>
      <c r="D18" s="106" t="s">
        <v>558</v>
      </c>
      <c r="E18" s="60" t="s">
        <v>612</v>
      </c>
      <c r="F18" s="61" t="n">
        <f aca="false">IF($E18="","",IFERROR(LOOKUP(VALUE(LEFT($E18&amp;"",FIND("-",$E18&amp;"-")-1)),$C$42:$C$50,$D$42:$D$50),""))</f>
        <v>50</v>
      </c>
      <c r="G18" s="62" t="n">
        <v>50</v>
      </c>
      <c r="H18" s="63" t="str">
        <f aca="false">IF($G18="","n/a",IF($F18=$G18,"ok","MISMATCH"))</f>
        <v>ok</v>
      </c>
      <c r="I18" s="64"/>
      <c r="J18" s="107" t="s">
        <v>1721</v>
      </c>
      <c r="L18" s="38" t="s">
        <v>134</v>
      </c>
    </row>
    <row r="19" customFormat="false" ht="15" hidden="false" customHeight="true" outlineLevel="0" collapsed="false">
      <c r="B19" s="29" t="s">
        <v>1722</v>
      </c>
      <c r="C19" s="98" t="s">
        <v>1714</v>
      </c>
      <c r="D19" s="99" t="s">
        <v>558</v>
      </c>
      <c r="E19" s="32" t="s">
        <v>614</v>
      </c>
      <c r="F19" s="33" t="n">
        <f aca="false">IF($E19="","",IFERROR(LOOKUP(VALUE(LEFT($E19&amp;"",FIND("-",$E19&amp;"-")-1)),$C$42:$C$50,$D$42:$D$50),""))</f>
        <v>0</v>
      </c>
      <c r="G19" s="34" t="n">
        <v>0</v>
      </c>
      <c r="H19" s="35" t="str">
        <f aca="false">IF($G19="","n/a",IF($F19=$G19,"ok","MISMATCH"))</f>
        <v>ok</v>
      </c>
      <c r="I19" s="36"/>
      <c r="J19" s="100" t="s">
        <v>1723</v>
      </c>
      <c r="L19" s="38" t="s">
        <v>1722</v>
      </c>
    </row>
    <row r="20" customFormat="false" ht="15" hidden="false" customHeight="true" outlineLevel="0" collapsed="false">
      <c r="B20" s="29" t="s">
        <v>173</v>
      </c>
      <c r="C20" s="98" t="s">
        <v>1714</v>
      </c>
      <c r="D20" s="99" t="s">
        <v>558</v>
      </c>
      <c r="E20" s="32" t="s">
        <v>617</v>
      </c>
      <c r="F20" s="33" t="n">
        <f aca="false">IF($E20="","",IFERROR(LOOKUP(VALUE(LEFT($E20&amp;"",FIND("-",$E20&amp;"-")-1)),$C$42:$C$50,$D$42:$D$50),""))</f>
        <v>0</v>
      </c>
      <c r="G20" s="34" t="n">
        <v>0</v>
      </c>
      <c r="H20" s="35" t="str">
        <f aca="false">IF($G20="","n/a",IF($F20=$G20,"ok","MISMATCH"))</f>
        <v>ok</v>
      </c>
      <c r="I20" s="36"/>
      <c r="J20" s="100"/>
      <c r="L20" s="38" t="s">
        <v>173</v>
      </c>
    </row>
    <row r="21" customFormat="false" ht="15" hidden="false" customHeight="true" outlineLevel="0" collapsed="false">
      <c r="B21" s="29" t="s">
        <v>1724</v>
      </c>
      <c r="C21" s="98" t="s">
        <v>1714</v>
      </c>
      <c r="D21" s="99" t="s">
        <v>558</v>
      </c>
      <c r="E21" s="32" t="s">
        <v>620</v>
      </c>
      <c r="F21" s="33" t="n">
        <f aca="false">IF($E21="","",IFERROR(LOOKUP(VALUE(LEFT($E21&amp;"",FIND("-",$E21&amp;"-")-1)),$C$42:$C$50,$D$42:$D$50),""))</f>
        <v>0</v>
      </c>
      <c r="G21" s="34" t="n">
        <v>0</v>
      </c>
      <c r="H21" s="35" t="str">
        <f aca="false">IF($G21="","n/a",IF($F21=$G21,"ok","MISMATCH"))</f>
        <v>ok</v>
      </c>
      <c r="I21" s="36"/>
      <c r="J21" s="100"/>
      <c r="L21" s="38" t="s">
        <v>1724</v>
      </c>
    </row>
    <row r="22" customFormat="false" ht="15" hidden="false" customHeight="true" outlineLevel="0" collapsed="false">
      <c r="B22" s="29" t="s">
        <v>220</v>
      </c>
      <c r="C22" s="98" t="s">
        <v>1725</v>
      </c>
      <c r="D22" s="99" t="s">
        <v>560</v>
      </c>
      <c r="E22" s="32" t="s">
        <v>621</v>
      </c>
      <c r="F22" s="33" t="n">
        <f aca="false">IF($E22="","",IFERROR(LOOKUP(VALUE(LEFT($E22&amp;"",FIND("-",$E22&amp;"-")-1)),$C$42:$C$50,$D$42:$D$50),""))</f>
        <v>0</v>
      </c>
      <c r="G22" s="34" t="n">
        <v>0</v>
      </c>
      <c r="H22" s="35" t="str">
        <f aca="false">IF($G22="","n/a",IF($F22=$G22,"ok","MISMATCH"))</f>
        <v>ok</v>
      </c>
      <c r="I22" s="36"/>
      <c r="J22" s="100"/>
      <c r="L22" s="38" t="s">
        <v>220</v>
      </c>
    </row>
    <row r="23" customFormat="false" ht="15" hidden="false" customHeight="true" outlineLevel="0" collapsed="false">
      <c r="B23" s="29" t="s">
        <v>141</v>
      </c>
      <c r="C23" s="98" t="s">
        <v>1718</v>
      </c>
      <c r="D23" s="99" t="s">
        <v>560</v>
      </c>
      <c r="E23" s="32" t="s">
        <v>624</v>
      </c>
      <c r="F23" s="33" t="n">
        <f aca="false">IF($E23="","",IFERROR(LOOKUP(VALUE(LEFT($E23&amp;"",FIND("-",$E23&amp;"-")-1)),$C$42:$C$50,$D$42:$D$50),""))</f>
        <v>0</v>
      </c>
      <c r="G23" s="34" t="n">
        <v>0</v>
      </c>
      <c r="H23" s="35" t="str">
        <f aca="false">IF($G23="","n/a",IF($F23=$G23,"ok","MISMATCH"))</f>
        <v>ok</v>
      </c>
      <c r="I23" s="36"/>
      <c r="J23" s="100"/>
      <c r="L23" s="38" t="s">
        <v>141</v>
      </c>
    </row>
    <row r="24" customFormat="false" ht="15" hidden="false" customHeight="true" outlineLevel="0" collapsed="false">
      <c r="B24" s="29" t="s">
        <v>1116</v>
      </c>
      <c r="C24" s="98" t="s">
        <v>1714</v>
      </c>
      <c r="D24" s="99" t="s">
        <v>558</v>
      </c>
      <c r="E24" s="32" t="s">
        <v>627</v>
      </c>
      <c r="F24" s="33" t="n">
        <f aca="false">IF($E24="","",IFERROR(LOOKUP(VALUE(LEFT($E24&amp;"",FIND("-",$E24&amp;"-")-1)),$C$42:$C$50,$D$42:$D$50),""))</f>
        <v>0</v>
      </c>
      <c r="G24" s="34" t="n">
        <v>0</v>
      </c>
      <c r="H24" s="35" t="str">
        <f aca="false">IF($G24="","n/a",IF($F24=$G24,"ok","MISMATCH"))</f>
        <v>ok</v>
      </c>
      <c r="I24" s="36"/>
      <c r="J24" s="100"/>
      <c r="L24" s="38" t="s">
        <v>127</v>
      </c>
    </row>
    <row r="25" customFormat="false" ht="15" hidden="false" customHeight="true" outlineLevel="0" collapsed="false">
      <c r="B25" s="29" t="s">
        <v>247</v>
      </c>
      <c r="C25" s="98" t="s">
        <v>1716</v>
      </c>
      <c r="D25" s="99" t="s">
        <v>560</v>
      </c>
      <c r="E25" s="32" t="s">
        <v>629</v>
      </c>
      <c r="F25" s="33" t="n">
        <f aca="false">IF($E25="","",IFERROR(LOOKUP(VALUE(LEFT($E25&amp;"",FIND("-",$E25&amp;"-")-1)),$C$42:$C$50,$D$42:$D$50),""))</f>
        <v>0</v>
      </c>
      <c r="G25" s="34" t="n">
        <v>0</v>
      </c>
      <c r="H25" s="35" t="str">
        <f aca="false">IF($G25="","n/a",IF($F25=$G25,"ok","MISMATCH"))</f>
        <v>ok</v>
      </c>
      <c r="I25" s="36"/>
      <c r="J25" s="100"/>
      <c r="L25" s="38" t="s">
        <v>247</v>
      </c>
    </row>
    <row r="26" customFormat="false" ht="15" hidden="false" customHeight="true" outlineLevel="0" collapsed="false">
      <c r="B26" s="29" t="s">
        <v>1726</v>
      </c>
      <c r="C26" s="98" t="s">
        <v>1727</v>
      </c>
      <c r="D26" s="99" t="s">
        <v>560</v>
      </c>
      <c r="E26" s="32" t="s">
        <v>632</v>
      </c>
      <c r="F26" s="33" t="n">
        <f aca="false">IF($E26="","",IFERROR(LOOKUP(VALUE(LEFT($E26&amp;"",FIND("-",$E26&amp;"-")-1)),$C$42:$C$50,$D$42:$D$50),""))</f>
        <v>0</v>
      </c>
      <c r="G26" s="34" t="n">
        <v>0</v>
      </c>
      <c r="H26" s="35" t="str">
        <f aca="false">IF($G26="","n/a",IF($F26=$G26,"ok","MISMATCH"))</f>
        <v>ok</v>
      </c>
      <c r="I26" s="36"/>
      <c r="J26" s="100"/>
      <c r="L26" s="38" t="s">
        <v>1726</v>
      </c>
    </row>
    <row r="27" customFormat="false" ht="15" hidden="false" customHeight="true" outlineLevel="0" collapsed="false">
      <c r="B27" s="29" t="s">
        <v>1728</v>
      </c>
      <c r="C27" s="98" t="s">
        <v>1714</v>
      </c>
      <c r="D27" s="99" t="s">
        <v>558</v>
      </c>
      <c r="E27" s="32" t="s">
        <v>916</v>
      </c>
      <c r="F27" s="33" t="n">
        <f aca="false">IF($E27="","",IFERROR(LOOKUP(VALUE(LEFT($E27&amp;"",FIND("-",$E27&amp;"-")-1)),$C$42:$C$50,$D$42:$D$50),""))</f>
        <v>0</v>
      </c>
      <c r="G27" s="34" t="n">
        <v>0</v>
      </c>
      <c r="H27" s="35" t="str">
        <f aca="false">IF($G27="","n/a",IF($F27=$G27,"ok","MISMATCH"))</f>
        <v>ok</v>
      </c>
      <c r="I27" s="36"/>
      <c r="J27" s="100" t="s">
        <v>1729</v>
      </c>
      <c r="L27" s="38" t="s">
        <v>261</v>
      </c>
    </row>
    <row r="28" customFormat="false" ht="15" hidden="false" customHeight="true" outlineLevel="0" collapsed="false">
      <c r="B28" s="29" t="s">
        <v>286</v>
      </c>
      <c r="C28" s="98" t="s">
        <v>1714</v>
      </c>
      <c r="D28" s="99" t="s">
        <v>558</v>
      </c>
      <c r="E28" s="32" t="s">
        <v>916</v>
      </c>
      <c r="F28" s="33" t="n">
        <f aca="false">IF($E28="","",IFERROR(LOOKUP(VALUE(LEFT($E28&amp;"",FIND("-",$E28&amp;"-")-1)),$C$42:$C$50,$D$42:$D$50),""))</f>
        <v>0</v>
      </c>
      <c r="G28" s="34" t="n">
        <v>0</v>
      </c>
      <c r="H28" s="35" t="str">
        <f aca="false">IF($G28="","n/a",IF($F28=$G28,"ok","MISMATCH"))</f>
        <v>ok</v>
      </c>
      <c r="I28" s="36"/>
      <c r="J28" s="100" t="s">
        <v>1729</v>
      </c>
      <c r="L28" s="38" t="s">
        <v>286</v>
      </c>
    </row>
    <row r="29" customFormat="false" ht="15" hidden="false" customHeight="true" outlineLevel="0" collapsed="false">
      <c r="B29" s="29" t="s">
        <v>1730</v>
      </c>
      <c r="C29" s="98" t="s">
        <v>1714</v>
      </c>
      <c r="D29" s="99" t="s">
        <v>558</v>
      </c>
      <c r="E29" s="32" t="s">
        <v>916</v>
      </c>
      <c r="F29" s="33" t="n">
        <f aca="false">IF($E29="","",IFERROR(LOOKUP(VALUE(LEFT($E29&amp;"",FIND("-",$E29&amp;"-")-1)),$C$42:$C$50,$D$42:$D$50),""))</f>
        <v>0</v>
      </c>
      <c r="G29" s="34" t="n">
        <v>0</v>
      </c>
      <c r="H29" s="35" t="str">
        <f aca="false">IF($G29="","n/a",IF($F29=$G29,"ok","MISMATCH"))</f>
        <v>ok</v>
      </c>
      <c r="I29" s="36"/>
      <c r="J29" s="100" t="s">
        <v>1729</v>
      </c>
      <c r="L29" s="38" t="s">
        <v>1730</v>
      </c>
    </row>
    <row r="30" customFormat="false" ht="15" hidden="false" customHeight="true" outlineLevel="0" collapsed="false">
      <c r="B30" s="29" t="s">
        <v>189</v>
      </c>
      <c r="C30" s="98" t="s">
        <v>1731</v>
      </c>
      <c r="D30" s="99" t="s">
        <v>560</v>
      </c>
      <c r="E30" s="32" t="s">
        <v>916</v>
      </c>
      <c r="F30" s="33" t="n">
        <f aca="false">IF($E30="","",IFERROR(LOOKUP(VALUE(LEFT($E30&amp;"",FIND("-",$E30&amp;"-")-1)),$C$42:$C$50,$D$42:$D$50),""))</f>
        <v>0</v>
      </c>
      <c r="G30" s="34" t="n">
        <v>0</v>
      </c>
      <c r="H30" s="35" t="str">
        <f aca="false">IF($G30="","n/a",IF($F30=$G30,"ok","MISMATCH"))</f>
        <v>ok</v>
      </c>
      <c r="I30" s="36"/>
      <c r="J30" s="100" t="s">
        <v>1729</v>
      </c>
      <c r="L30" s="38" t="s">
        <v>189</v>
      </c>
    </row>
    <row r="31" customFormat="false" ht="15" hidden="false" customHeight="true" outlineLevel="0" collapsed="false">
      <c r="B31" s="29" t="s">
        <v>300</v>
      </c>
      <c r="C31" s="98" t="s">
        <v>1731</v>
      </c>
      <c r="D31" s="99" t="s">
        <v>560</v>
      </c>
      <c r="E31" s="32" t="s">
        <v>916</v>
      </c>
      <c r="F31" s="33" t="n">
        <f aca="false">IF($E31="","",IFERROR(LOOKUP(VALUE(LEFT($E31&amp;"",FIND("-",$E31&amp;"-")-1)),$C$42:$C$50,$D$42:$D$50),""))</f>
        <v>0</v>
      </c>
      <c r="G31" s="34" t="n">
        <v>0</v>
      </c>
      <c r="H31" s="35" t="str">
        <f aca="false">IF($G31="","n/a",IF($F31=$G31,"ok","MISMATCH"))</f>
        <v>ok</v>
      </c>
      <c r="I31" s="36"/>
      <c r="J31" s="100" t="s">
        <v>1729</v>
      </c>
      <c r="L31" s="38" t="s">
        <v>300</v>
      </c>
    </row>
    <row r="32" customFormat="false" ht="15" hidden="false" customHeight="true" outlineLevel="0" collapsed="false">
      <c r="B32" s="29" t="s">
        <v>145</v>
      </c>
      <c r="C32" s="98" t="s">
        <v>1719</v>
      </c>
      <c r="D32" s="99" t="s">
        <v>560</v>
      </c>
      <c r="E32" s="32" t="s">
        <v>916</v>
      </c>
      <c r="F32" s="33" t="n">
        <f aca="false">IF($E32="","",IFERROR(LOOKUP(VALUE(LEFT($E32&amp;"",FIND("-",$E32&amp;"-")-1)),$C$42:$C$50,$D$42:$D$50),""))</f>
        <v>0</v>
      </c>
      <c r="G32" s="34" t="n">
        <v>0</v>
      </c>
      <c r="H32" s="35" t="str">
        <f aca="false">IF($G32="","n/a",IF($F32=$G32,"ok","MISMATCH"))</f>
        <v>ok</v>
      </c>
      <c r="I32" s="36"/>
      <c r="J32" s="100" t="s">
        <v>1729</v>
      </c>
      <c r="L32" s="38" t="s">
        <v>145</v>
      </c>
    </row>
    <row r="33" customFormat="false" ht="15" hidden="false" customHeight="true" outlineLevel="0" collapsed="false">
      <c r="B33" s="29" t="s">
        <v>226</v>
      </c>
      <c r="C33" s="98" t="s">
        <v>1727</v>
      </c>
      <c r="D33" s="99" t="s">
        <v>560</v>
      </c>
      <c r="E33" s="32" t="s">
        <v>916</v>
      </c>
      <c r="F33" s="33" t="n">
        <f aca="false">IF($E33="","",IFERROR(LOOKUP(VALUE(LEFT($E33&amp;"",FIND("-",$E33&amp;"-")-1)),$C$42:$C$50,$D$42:$D$50),""))</f>
        <v>0</v>
      </c>
      <c r="G33" s="34" t="n">
        <v>0</v>
      </c>
      <c r="H33" s="35" t="str">
        <f aca="false">IF($G33="","n/a",IF($F33=$G33,"ok","MISMATCH"))</f>
        <v>ok</v>
      </c>
      <c r="I33" s="36"/>
      <c r="J33" s="100" t="s">
        <v>1729</v>
      </c>
      <c r="L33" s="38" t="s">
        <v>226</v>
      </c>
    </row>
    <row r="34" customFormat="false" ht="15" hidden="false" customHeight="true" outlineLevel="0" collapsed="false">
      <c r="B34" s="29" t="s">
        <v>330</v>
      </c>
      <c r="C34" s="98" t="s">
        <v>1725</v>
      </c>
      <c r="D34" s="99" t="s">
        <v>560</v>
      </c>
      <c r="E34" s="32" t="s">
        <v>916</v>
      </c>
      <c r="F34" s="33" t="n">
        <f aca="false">IF($E34="","",IFERROR(LOOKUP(VALUE(LEFT($E34&amp;"",FIND("-",$E34&amp;"-")-1)),$C$42:$C$50,$D$42:$D$50),""))</f>
        <v>0</v>
      </c>
      <c r="G34" s="34" t="n">
        <v>0</v>
      </c>
      <c r="H34" s="35" t="str">
        <f aca="false">IF($G34="","n/a",IF($F34=$G34,"ok","MISMATCH"))</f>
        <v>ok</v>
      </c>
      <c r="I34" s="36"/>
      <c r="J34" s="100" t="s">
        <v>1729</v>
      </c>
      <c r="L34" s="38" t="s">
        <v>330</v>
      </c>
    </row>
    <row r="36" customFormat="false" ht="15" hidden="false" customHeight="true" outlineLevel="0" collapsed="false">
      <c r="B36" s="11" t="s">
        <v>459</v>
      </c>
      <c r="F36" s="77" t="n">
        <f aca="false">SUM(F11:F34)</f>
        <v>3050</v>
      </c>
    </row>
    <row r="37" customFormat="false" ht="15" hidden="false" customHeight="true" outlineLevel="0" collapsed="false">
      <c r="B37" s="18" t="s">
        <v>1732</v>
      </c>
    </row>
    <row r="39" customFormat="false" ht="15" hidden="false" customHeight="true" outlineLevel="0" collapsed="false">
      <c r="B39" s="11" t="s">
        <v>461</v>
      </c>
    </row>
    <row r="40" customFormat="false" ht="15" hidden="false" customHeight="true" outlineLevel="0" collapsed="false">
      <c r="B40" s="78" t="s">
        <v>1693</v>
      </c>
    </row>
    <row r="41" customFormat="false" ht="15" hidden="false" customHeight="true" outlineLevel="0" collapsed="false">
      <c r="C41" s="4" t="s">
        <v>463</v>
      </c>
      <c r="D41" s="4" t="s">
        <v>464</v>
      </c>
      <c r="E41" s="1" t="s">
        <v>465</v>
      </c>
    </row>
    <row r="42" customFormat="false" ht="15" hidden="false" customHeight="true" outlineLevel="0" collapsed="false">
      <c r="C42" s="13" t="n">
        <v>1</v>
      </c>
      <c r="D42" s="79" t="n">
        <v>1000</v>
      </c>
      <c r="E42" s="80" t="s">
        <v>466</v>
      </c>
    </row>
    <row r="43" customFormat="false" ht="15" hidden="false" customHeight="true" outlineLevel="0" collapsed="false">
      <c r="C43" s="13" t="n">
        <v>2</v>
      </c>
      <c r="D43" s="79" t="n">
        <v>750</v>
      </c>
      <c r="E43" s="80" t="s">
        <v>467</v>
      </c>
    </row>
    <row r="44" customFormat="false" ht="15" hidden="false" customHeight="true" outlineLevel="0" collapsed="false">
      <c r="C44" s="13" t="n">
        <v>3</v>
      </c>
      <c r="D44" s="79" t="n">
        <v>500</v>
      </c>
      <c r="E44" s="80" t="s">
        <v>468</v>
      </c>
    </row>
    <row r="45" customFormat="false" ht="15" hidden="false" customHeight="true" outlineLevel="0" collapsed="false">
      <c r="C45" s="13" t="n">
        <v>4</v>
      </c>
      <c r="D45" s="79" t="n">
        <v>300</v>
      </c>
      <c r="E45" s="80" t="s">
        <v>469</v>
      </c>
    </row>
    <row r="46" customFormat="false" ht="15" hidden="false" customHeight="true" outlineLevel="0" collapsed="false">
      <c r="C46" s="13" t="n">
        <v>5</v>
      </c>
      <c r="D46" s="79" t="n">
        <v>200</v>
      </c>
      <c r="E46" s="80" t="s">
        <v>1733</v>
      </c>
    </row>
    <row r="47" customFormat="false" ht="15" hidden="false" customHeight="true" outlineLevel="0" collapsed="false">
      <c r="C47" s="13" t="n">
        <v>6</v>
      </c>
      <c r="D47" s="79" t="n">
        <v>150</v>
      </c>
      <c r="E47" s="80" t="s">
        <v>1734</v>
      </c>
    </row>
    <row r="48" customFormat="false" ht="15" hidden="false" customHeight="true" outlineLevel="0" collapsed="false">
      <c r="C48" s="13" t="n">
        <v>7</v>
      </c>
      <c r="D48" s="79" t="n">
        <v>100</v>
      </c>
      <c r="E48" s="80" t="s">
        <v>1735</v>
      </c>
    </row>
    <row r="49" customFormat="false" ht="15" hidden="false" customHeight="true" outlineLevel="0" collapsed="false">
      <c r="C49" s="13" t="n">
        <v>8</v>
      </c>
      <c r="D49" s="79" t="n">
        <v>50</v>
      </c>
      <c r="E49" s="80" t="s">
        <v>1736</v>
      </c>
    </row>
    <row r="50" customFormat="false" ht="15" hidden="false" customHeight="true" outlineLevel="0" collapsed="false">
      <c r="C50" s="13" t="n">
        <v>9</v>
      </c>
      <c r="D50" s="79" t="n">
        <v>0</v>
      </c>
      <c r="E50" s="80" t="s">
        <v>665</v>
      </c>
    </row>
    <row r="52" customFormat="false" ht="15" hidden="false" customHeight="true" outlineLevel="0" collapsed="false">
      <c r="B52" s="11" t="s">
        <v>1695</v>
      </c>
    </row>
    <row r="53" customFormat="false" ht="15" hidden="false" customHeight="true" outlineLevel="0" collapsed="false">
      <c r="B53" s="93" t="s">
        <v>1737</v>
      </c>
    </row>
    <row r="54" customFormat="false" ht="15" hidden="false" customHeight="true" outlineLevel="0" collapsed="false">
      <c r="B54" s="93" t="s">
        <v>1738</v>
      </c>
    </row>
    <row r="55" customFormat="false" ht="15" hidden="false" customHeight="true" outlineLevel="0" collapsed="false">
      <c r="B55" s="93" t="s">
        <v>1739</v>
      </c>
    </row>
    <row r="57" customFormat="false" ht="34.5" hidden="false" customHeight="true" outlineLevel="0" collapsed="false">
      <c r="B57" s="4" t="s">
        <v>556</v>
      </c>
      <c r="C57" s="4" t="s">
        <v>1699</v>
      </c>
      <c r="D57" s="4" t="s">
        <v>573</v>
      </c>
      <c r="E57" s="4" t="s">
        <v>1700</v>
      </c>
      <c r="F57" s="4" t="s">
        <v>1701</v>
      </c>
    </row>
    <row r="58" customFormat="false" ht="15" hidden="false" customHeight="true" outlineLevel="0" collapsed="false">
      <c r="B58" s="110" t="s">
        <v>558</v>
      </c>
      <c r="C58" s="14" t="n">
        <v>2</v>
      </c>
      <c r="D58" s="13" t="n">
        <f aca="false">COUNTIF($D$11:$D$34,$B58)</f>
        <v>10</v>
      </c>
      <c r="E58" s="205" t="n">
        <f aca="false">IFERROR($C58*$D58/$D$62,"")</f>
        <v>0.588235294117647</v>
      </c>
      <c r="F58" s="205" t="n">
        <f aca="false">IFERROR($C58/$D$62,"")</f>
        <v>0.0588235294117647</v>
      </c>
    </row>
    <row r="59" customFormat="false" ht="15" hidden="false" customHeight="true" outlineLevel="0" collapsed="false">
      <c r="B59" s="110" t="s">
        <v>560</v>
      </c>
      <c r="C59" s="14" t="n">
        <v>1</v>
      </c>
      <c r="D59" s="13" t="n">
        <f aca="false">COUNTIF($D$11:$D$34,$B59)</f>
        <v>14</v>
      </c>
      <c r="E59" s="205" t="n">
        <f aca="false">IFERROR($C59*$D59/$D$62,"")</f>
        <v>0.411764705882353</v>
      </c>
      <c r="F59" s="205" t="n">
        <f aca="false">IFERROR($C59/$D$62,"")</f>
        <v>0.0294117647058824</v>
      </c>
    </row>
    <row r="60" customFormat="false" ht="15" hidden="false" customHeight="true" outlineLevel="0" collapsed="false">
      <c r="B60" s="110" t="s">
        <v>565</v>
      </c>
      <c r="C60" s="14" t="n">
        <v>0.4</v>
      </c>
      <c r="D60" s="13" t="n">
        <f aca="false">COUNTIF($D$11:$D$34,$B60)</f>
        <v>0</v>
      </c>
      <c r="E60" s="205" t="n">
        <f aca="false">IFERROR($C60*$D60/$D$62,"")</f>
        <v>0</v>
      </c>
      <c r="F60" s="205" t="n">
        <f aca="false">IFERROR($C60/$D$62,"")</f>
        <v>0.0117647058823529</v>
      </c>
    </row>
    <row r="62" customFormat="false" ht="15" hidden="false" customHeight="true" outlineLevel="0" collapsed="false">
      <c r="B62" s="11" t="s">
        <v>1702</v>
      </c>
      <c r="D62" s="77" t="n">
        <f aca="false">SUMPRODUCT($C$58:$C$60,$D$58:$D$60)</f>
        <v>34</v>
      </c>
    </row>
    <row r="64" customFormat="false" ht="15" hidden="false" customHeight="true" outlineLevel="0" collapsed="false">
      <c r="B64" s="116" t="s">
        <v>581</v>
      </c>
      <c r="D64" s="14" t="n">
        <v>62</v>
      </c>
    </row>
    <row r="65" customFormat="false" ht="15" hidden="false" customHeight="true" outlineLevel="0" collapsed="false">
      <c r="B65" s="116" t="s">
        <v>582</v>
      </c>
      <c r="D65" s="14" t="n">
        <v>24</v>
      </c>
    </row>
    <row r="66" customFormat="false" ht="15" hidden="false" customHeight="true" outlineLevel="0" collapsed="false">
      <c r="B66" s="116" t="s">
        <v>1703</v>
      </c>
      <c r="D66" s="206" t="n">
        <f aca="false">$D$64/50</f>
        <v>1.24</v>
      </c>
    </row>
    <row r="70" customFormat="false" ht="15" hidden="false" customHeight="true" outlineLevel="0" collapsed="false">
      <c r="B70" s="18" t="s">
        <v>1704</v>
      </c>
    </row>
    <row r="71" customFormat="false" ht="15" hidden="false" customHeight="true" outlineLevel="0" collapsed="false">
      <c r="B71" s="18" t="s">
        <v>1740</v>
      </c>
    </row>
    <row r="72" customFormat="false" ht="15" hidden="false" customHeight="true" outlineLevel="0" collapsed="false">
      <c r="B72" s="18" t="s">
        <v>1741</v>
      </c>
    </row>
  </sheetData>
  <sheetProtection sheet="true"/>
  <dataValidations count="3">
    <dataValidation allowBlank="true" errorStyle="stop" operator="between" showDropDown="false" showErrorMessage="false" showInputMessage="false" sqref="D11:D34" type="list">
      <formula1>"High,Medium,Low"</formula1>
      <formula2>0</formula2>
    </dataValidation>
    <dataValidation allowBlank="true" errorStyle="stop" operator="between" showDropDown="false" showErrorMessage="false" showInputMessage="false" sqref="E11:E34" type="list">
      <formula1>"1,2,3,4,5,6,7,8,9,10,11,12,13,14,15,16,17-24"</formula1>
      <formula2>0</formula2>
    </dataValidation>
    <dataValidation allowBlank="true" errorStyle="stop" operator="between" showDropDown="false" showErrorMessage="false" showInputMessage="false" sqref="C11:C34" type="list">
      <formula1>"PGS Points,Title defender,Regional — Americas,Regional — China,Regional — EMEA,Regional — Korea,Regional — Rest of APAC,Regional — Thailand,Regional — Vietnam"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13"/>
    <col collapsed="false" customWidth="true" hidden="false" outlineLevel="0" max="4" min="4" style="1" width="11"/>
    <col collapsed="false" customWidth="true" hidden="false" outlineLevel="0" max="5" min="5" style="1" width="12"/>
    <col collapsed="false" customWidth="true" hidden="false" outlineLevel="0" max="7" min="7" style="1" width="15"/>
    <col collapsed="false" customWidth="true" hidden="false" outlineLevel="0" max="8" min="8" style="1" width="10"/>
    <col collapsed="false" customWidth="true" hidden="false" outlineLevel="0" max="9" min="9" style="1" width="12"/>
    <col collapsed="false" customWidth="true" hidden="false" outlineLevel="0" max="10" min="10" style="1" width="30"/>
    <col collapsed="false" customWidth="true" hidden="false" outlineLevel="0" max="12" min="12" style="1" width="26"/>
  </cols>
  <sheetData>
    <row r="2" customFormat="false" ht="18" hidden="false" customHeight="true" outlineLevel="0" collapsed="false">
      <c r="B2" s="2" t="s">
        <v>1742</v>
      </c>
    </row>
    <row r="3" customFormat="false" ht="15" hidden="false" customHeight="true" outlineLevel="0" collapsed="false">
      <c r="B3" s="93" t="s">
        <v>1743</v>
      </c>
    </row>
    <row r="5" customFormat="false" ht="15" hidden="false" customHeight="true" outlineLevel="0" collapsed="false">
      <c r="B5" s="27" t="s">
        <v>405</v>
      </c>
      <c r="D5" s="27" t="s">
        <v>406</v>
      </c>
      <c r="F5" s="27" t="s">
        <v>39</v>
      </c>
      <c r="H5" s="27" t="s">
        <v>407</v>
      </c>
      <c r="J5" s="27" t="s">
        <v>408</v>
      </c>
      <c r="L5" s="27" t="s">
        <v>409</v>
      </c>
    </row>
    <row r="6" customFormat="false" ht="15" hidden="false" customHeight="true" outlineLevel="0" collapsed="false">
      <c r="B6" s="28" t="s">
        <v>1744</v>
      </c>
      <c r="D6" s="28" t="s">
        <v>549</v>
      </c>
      <c r="F6" s="28" t="s">
        <v>1745</v>
      </c>
      <c r="H6" s="28" t="s">
        <v>1746</v>
      </c>
      <c r="J6" s="28" t="s">
        <v>1747</v>
      </c>
      <c r="L6" s="28" t="s">
        <v>1748</v>
      </c>
    </row>
    <row r="8" customFormat="false" ht="15" hidden="false" customHeight="true" outlineLevel="0" collapsed="false">
      <c r="B8" s="11" t="s">
        <v>416</v>
      </c>
    </row>
    <row r="9" customFormat="false" ht="15" hidden="false" customHeight="true" outlineLevel="0" collapsed="false">
      <c r="B9" s="18" t="s">
        <v>1749</v>
      </c>
    </row>
    <row r="10" customFormat="false" ht="34.5" hidden="false" customHeight="true" outlineLevel="0" collapsed="false">
      <c r="B10" s="4" t="s">
        <v>418</v>
      </c>
      <c r="C10" s="4" t="s">
        <v>490</v>
      </c>
      <c r="D10" s="4" t="s">
        <v>556</v>
      </c>
      <c r="E10" s="4" t="s">
        <v>421</v>
      </c>
      <c r="F10" s="4" t="s">
        <v>422</v>
      </c>
      <c r="G10" s="4" t="s">
        <v>423</v>
      </c>
      <c r="H10" s="4" t="s">
        <v>424</v>
      </c>
      <c r="I10" s="4" t="s">
        <v>425</v>
      </c>
      <c r="J10" s="4" t="s">
        <v>41</v>
      </c>
      <c r="L10" s="4" t="s">
        <v>426</v>
      </c>
    </row>
    <row r="11" customFormat="false" ht="15" hidden="false" customHeight="true" outlineLevel="0" collapsed="false">
      <c r="B11" s="29" t="s">
        <v>119</v>
      </c>
      <c r="C11" s="98" t="s">
        <v>1682</v>
      </c>
      <c r="D11" s="98" t="s">
        <v>558</v>
      </c>
      <c r="E11" s="32" t="s">
        <v>427</v>
      </c>
      <c r="F11" s="33" t="n">
        <f aca="false">IF($E11="","",IFERROR(LOOKUP(VALUE(LEFT($E11&amp;"",FIND("-",$E11&amp;"-")-1)),$C$34:$C$39,$D$34:$D$39),""))</f>
        <v>1000</v>
      </c>
      <c r="G11" s="34" t="n">
        <v>1000</v>
      </c>
      <c r="H11" s="35" t="str">
        <f aca="false">IF($G11="","n/a",IF($F11=$G11,"ok","MISMATCH"))</f>
        <v>ok</v>
      </c>
      <c r="I11" s="36" t="n">
        <v>150000</v>
      </c>
      <c r="J11" s="100" t="s">
        <v>1750</v>
      </c>
      <c r="L11" s="38" t="s">
        <v>119</v>
      </c>
    </row>
    <row r="12" customFormat="false" ht="15" hidden="false" customHeight="true" outlineLevel="0" collapsed="false">
      <c r="B12" s="39" t="s">
        <v>165</v>
      </c>
      <c r="C12" s="101" t="s">
        <v>1751</v>
      </c>
      <c r="D12" s="101" t="s">
        <v>558</v>
      </c>
      <c r="E12" s="42" t="s">
        <v>428</v>
      </c>
      <c r="F12" s="43" t="n">
        <f aca="false">IF($E12="","",IFERROR(LOOKUP(VALUE(LEFT($E12&amp;"",FIND("-",$E12&amp;"-")-1)),$C$34:$C$39,$D$34:$D$39),""))</f>
        <v>750</v>
      </c>
      <c r="G12" s="44" t="n">
        <v>750</v>
      </c>
      <c r="H12" s="45" t="str">
        <f aca="false">IF($G12="","n/a",IF($F12=$G12,"ok","MISMATCH"))</f>
        <v>ok</v>
      </c>
      <c r="I12" s="46" t="n">
        <v>90000</v>
      </c>
      <c r="J12" s="103" t="s">
        <v>1752</v>
      </c>
      <c r="L12" s="38" t="s">
        <v>165</v>
      </c>
    </row>
    <row r="13" customFormat="false" ht="15" hidden="false" customHeight="true" outlineLevel="0" collapsed="false">
      <c r="B13" s="48" t="s">
        <v>1650</v>
      </c>
      <c r="C13" s="104" t="s">
        <v>1753</v>
      </c>
      <c r="D13" s="104" t="s">
        <v>560</v>
      </c>
      <c r="E13" s="51" t="s">
        <v>430</v>
      </c>
      <c r="F13" s="52" t="n">
        <f aca="false">IF($E13="","",IFERROR(LOOKUP(VALUE(LEFT($E13&amp;"",FIND("-",$E13&amp;"-")-1)),$C$34:$C$39,$D$34:$D$39),""))</f>
        <v>500</v>
      </c>
      <c r="G13" s="53" t="n">
        <v>500</v>
      </c>
      <c r="H13" s="54" t="str">
        <f aca="false">IF($G13="","n/a",IF($F13=$G13,"ok","MISMATCH"))</f>
        <v>ok</v>
      </c>
      <c r="I13" s="55" t="n">
        <v>50000</v>
      </c>
      <c r="J13" s="105" t="s">
        <v>1754</v>
      </c>
      <c r="L13" s="38" t="s">
        <v>1650</v>
      </c>
    </row>
    <row r="14" customFormat="false" ht="15" hidden="false" customHeight="true" outlineLevel="0" collapsed="false">
      <c r="B14" s="57" t="s">
        <v>1755</v>
      </c>
      <c r="C14" s="106" t="s">
        <v>1756</v>
      </c>
      <c r="D14" s="106" t="s">
        <v>560</v>
      </c>
      <c r="E14" s="60" t="s">
        <v>431</v>
      </c>
      <c r="F14" s="61" t="n">
        <f aca="false">IF($E14="","",IFERROR(LOOKUP(VALUE(LEFT($E14&amp;"",FIND("-",$E14&amp;"-")-1)),$C$34:$C$39,$D$34:$D$39),""))</f>
        <v>300</v>
      </c>
      <c r="G14" s="62" t="n">
        <v>300</v>
      </c>
      <c r="H14" s="63" t="str">
        <f aca="false">IF($G14="","n/a",IF($F14=$G14,"ok","MISMATCH"))</f>
        <v>ok</v>
      </c>
      <c r="I14" s="64" t="n">
        <v>30000</v>
      </c>
      <c r="J14" s="107" t="s">
        <v>1757</v>
      </c>
      <c r="L14" s="38" t="s">
        <v>362</v>
      </c>
    </row>
    <row r="15" customFormat="false" ht="15" hidden="false" customHeight="true" outlineLevel="0" collapsed="false">
      <c r="B15" s="57" t="s">
        <v>1652</v>
      </c>
      <c r="C15" s="106" t="s">
        <v>1758</v>
      </c>
      <c r="D15" s="106" t="s">
        <v>560</v>
      </c>
      <c r="E15" s="60" t="s">
        <v>432</v>
      </c>
      <c r="F15" s="61" t="n">
        <f aca="false">IF($E15="","",IFERROR(LOOKUP(VALUE(LEFT($E15&amp;"",FIND("-",$E15&amp;"-")-1)),$C$34:$C$39,$D$34:$D$39),""))</f>
        <v>200</v>
      </c>
      <c r="G15" s="62" t="n">
        <v>200</v>
      </c>
      <c r="H15" s="63" t="str">
        <f aca="false">IF($G15="","n/a",IF($F15=$G15,"ok","MISMATCH"))</f>
        <v>ok</v>
      </c>
      <c r="I15" s="64" t="n">
        <v>20000</v>
      </c>
      <c r="J15" s="107"/>
      <c r="L15" s="38" t="s">
        <v>1652</v>
      </c>
    </row>
    <row r="16" customFormat="false" ht="15" hidden="false" customHeight="true" outlineLevel="0" collapsed="false">
      <c r="B16" s="57" t="s">
        <v>1759</v>
      </c>
      <c r="C16" s="106" t="s">
        <v>1760</v>
      </c>
      <c r="D16" s="106" t="s">
        <v>560</v>
      </c>
      <c r="E16" s="60" t="s">
        <v>432</v>
      </c>
      <c r="F16" s="61" t="n">
        <f aca="false">IF($E16="","",IFERROR(LOOKUP(VALUE(LEFT($E16&amp;"",FIND("-",$E16&amp;"-")-1)),$C$34:$C$39,$D$34:$D$39),""))</f>
        <v>200</v>
      </c>
      <c r="G16" s="62" t="n">
        <v>200</v>
      </c>
      <c r="H16" s="63" t="str">
        <f aca="false">IF($G16="","n/a",IF($F16=$G16,"ok","MISMATCH"))</f>
        <v>ok</v>
      </c>
      <c r="I16" s="64" t="n">
        <v>20000</v>
      </c>
      <c r="J16" s="107"/>
      <c r="L16" s="38" t="s">
        <v>388</v>
      </c>
    </row>
    <row r="17" customFormat="false" ht="15" hidden="false" customHeight="true" outlineLevel="0" collapsed="false">
      <c r="B17" s="57" t="s">
        <v>1761</v>
      </c>
      <c r="C17" s="106" t="s">
        <v>1762</v>
      </c>
      <c r="D17" s="106" t="s">
        <v>558</v>
      </c>
      <c r="E17" s="60" t="s">
        <v>432</v>
      </c>
      <c r="F17" s="61" t="n">
        <f aca="false">IF($E17="","",IFERROR(LOOKUP(VALUE(LEFT($E17&amp;"",FIND("-",$E17&amp;"-")-1)),$C$34:$C$39,$D$34:$D$39),""))</f>
        <v>200</v>
      </c>
      <c r="G17" s="62" t="n">
        <v>200</v>
      </c>
      <c r="H17" s="63" t="str">
        <f aca="false">IF($G17="","n/a",IF($F17=$G17,"ok","MISMATCH"))</f>
        <v>ok</v>
      </c>
      <c r="I17" s="64" t="n">
        <v>20000</v>
      </c>
      <c r="J17" s="107"/>
      <c r="L17" s="38" t="s">
        <v>114</v>
      </c>
    </row>
    <row r="18" customFormat="false" ht="15" hidden="false" customHeight="true" outlineLevel="0" collapsed="false">
      <c r="B18" s="57" t="s">
        <v>1763</v>
      </c>
      <c r="C18" s="106" t="s">
        <v>1764</v>
      </c>
      <c r="D18" s="106" t="s">
        <v>565</v>
      </c>
      <c r="E18" s="60" t="s">
        <v>432</v>
      </c>
      <c r="F18" s="61" t="n">
        <f aca="false">IF($E18="","",IFERROR(LOOKUP(VALUE(LEFT($E18&amp;"",FIND("-",$E18&amp;"-")-1)),$C$34:$C$39,$D$34:$D$39),""))</f>
        <v>200</v>
      </c>
      <c r="G18" s="62" t="n">
        <v>200</v>
      </c>
      <c r="H18" s="63" t="str">
        <f aca="false">IF($G18="","n/a",IF($F18=$G18,"ok","MISMATCH"))</f>
        <v>ok</v>
      </c>
      <c r="I18" s="64" t="n">
        <v>20000</v>
      </c>
      <c r="J18" s="107" t="s">
        <v>1765</v>
      </c>
      <c r="L18" s="38" t="s">
        <v>114</v>
      </c>
    </row>
    <row r="19" customFormat="false" ht="15" hidden="false" customHeight="true" outlineLevel="0" collapsed="false">
      <c r="B19" s="29" t="s">
        <v>161</v>
      </c>
      <c r="C19" s="98" t="s">
        <v>1766</v>
      </c>
      <c r="D19" s="99" t="s">
        <v>560</v>
      </c>
      <c r="E19" s="32" t="s">
        <v>433</v>
      </c>
      <c r="F19" s="33" t="n">
        <f aca="false">IF($E19="","",IFERROR(LOOKUP(VALUE(LEFT($E19&amp;"",FIND("-",$E19&amp;"-")-1)),$C$34:$C$39,$D$34:$D$39),""))</f>
        <v>0</v>
      </c>
      <c r="G19" s="34" t="n">
        <v>0</v>
      </c>
      <c r="H19" s="35" t="str">
        <f aca="false">IF($G19="","n/a",IF($F19=$G19,"ok","MISMATCH"))</f>
        <v>ok</v>
      </c>
      <c r="I19" s="36"/>
      <c r="J19" s="100" t="s">
        <v>1767</v>
      </c>
      <c r="L19" s="38" t="s">
        <v>161</v>
      </c>
    </row>
    <row r="20" customFormat="false" ht="15" hidden="false" customHeight="true" outlineLevel="0" collapsed="false">
      <c r="B20" s="29" t="s">
        <v>1768</v>
      </c>
      <c r="C20" s="98" t="s">
        <v>1769</v>
      </c>
      <c r="D20" s="99" t="s">
        <v>560</v>
      </c>
      <c r="E20" s="32" t="s">
        <v>433</v>
      </c>
      <c r="F20" s="33" t="n">
        <f aca="false">IF($E20="","",IFERROR(LOOKUP(VALUE(LEFT($E20&amp;"",FIND("-",$E20&amp;"-")-1)),$C$34:$C$39,$D$34:$D$39),""))</f>
        <v>0</v>
      </c>
      <c r="G20" s="34" t="n">
        <v>0</v>
      </c>
      <c r="H20" s="35" t="str">
        <f aca="false">IF($G20="","n/a",IF($F20=$G20,"ok","MISMATCH"))</f>
        <v>ok</v>
      </c>
      <c r="I20" s="36"/>
      <c r="J20" s="100"/>
      <c r="L20" s="38" t="s">
        <v>163</v>
      </c>
    </row>
    <row r="21" customFormat="false" ht="15" hidden="false" customHeight="true" outlineLevel="0" collapsed="false">
      <c r="B21" s="29" t="s">
        <v>202</v>
      </c>
      <c r="C21" s="98" t="s">
        <v>1770</v>
      </c>
      <c r="D21" s="99" t="s">
        <v>560</v>
      </c>
      <c r="E21" s="32" t="s">
        <v>433</v>
      </c>
      <c r="F21" s="33" t="n">
        <f aca="false">IF($E21="","",IFERROR(LOOKUP(VALUE(LEFT($E21&amp;"",FIND("-",$E21&amp;"-")-1)),$C$34:$C$39,$D$34:$D$39),""))</f>
        <v>0</v>
      </c>
      <c r="G21" s="34" t="n">
        <v>0</v>
      </c>
      <c r="H21" s="35" t="str">
        <f aca="false">IF($G21="","n/a",IF($F21=$G21,"ok","MISMATCH"))</f>
        <v>ok</v>
      </c>
      <c r="I21" s="36"/>
      <c r="J21" s="100"/>
      <c r="L21" s="38" t="s">
        <v>202</v>
      </c>
    </row>
    <row r="22" customFormat="false" ht="15" hidden="false" customHeight="true" outlineLevel="0" collapsed="false">
      <c r="B22" s="29" t="s">
        <v>1771</v>
      </c>
      <c r="C22" s="98" t="s">
        <v>1772</v>
      </c>
      <c r="D22" s="99" t="s">
        <v>560</v>
      </c>
      <c r="E22" s="32" t="s">
        <v>433</v>
      </c>
      <c r="F22" s="33" t="n">
        <f aca="false">IF($E22="","",IFERROR(LOOKUP(VALUE(LEFT($E22&amp;"",FIND("-",$E22&amp;"-")-1)),$C$34:$C$39,$D$34:$D$39),""))</f>
        <v>0</v>
      </c>
      <c r="G22" s="34" t="n">
        <v>0</v>
      </c>
      <c r="H22" s="35" t="str">
        <f aca="false">IF($G22="","n/a",IF($F22=$G22,"ok","MISMATCH"))</f>
        <v>ok</v>
      </c>
      <c r="I22" s="36"/>
      <c r="J22" s="100"/>
      <c r="L22" s="38" t="s">
        <v>134</v>
      </c>
    </row>
    <row r="23" customFormat="false" ht="15" hidden="false" customHeight="true" outlineLevel="0" collapsed="false">
      <c r="B23" s="29" t="s">
        <v>1773</v>
      </c>
      <c r="C23" s="98" t="s">
        <v>1774</v>
      </c>
      <c r="D23" s="99" t="s">
        <v>565</v>
      </c>
      <c r="E23" s="32" t="s">
        <v>433</v>
      </c>
      <c r="F23" s="33" t="n">
        <f aca="false">IF($E23="","",IFERROR(LOOKUP(VALUE(LEFT($E23&amp;"",FIND("-",$E23&amp;"-")-1)),$C$34:$C$39,$D$34:$D$39),""))</f>
        <v>0</v>
      </c>
      <c r="G23" s="34" t="n">
        <v>0</v>
      </c>
      <c r="H23" s="35" t="str">
        <f aca="false">IF($G23="","n/a",IF($F23=$G23,"ok","MISMATCH"))</f>
        <v>ok</v>
      </c>
      <c r="I23" s="36"/>
      <c r="J23" s="100"/>
      <c r="L23" s="38" t="s">
        <v>157</v>
      </c>
    </row>
    <row r="24" customFormat="false" ht="15" hidden="false" customHeight="true" outlineLevel="0" collapsed="false">
      <c r="B24" s="29" t="s">
        <v>1775</v>
      </c>
      <c r="C24" s="98" t="s">
        <v>1776</v>
      </c>
      <c r="D24" s="99" t="s">
        <v>565</v>
      </c>
      <c r="E24" s="32" t="s">
        <v>433</v>
      </c>
      <c r="F24" s="33" t="n">
        <f aca="false">IF($E24="","",IFERROR(LOOKUP(VALUE(LEFT($E24&amp;"",FIND("-",$E24&amp;"-")-1)),$C$34:$C$39,$D$34:$D$39),""))</f>
        <v>0</v>
      </c>
      <c r="G24" s="34" t="n">
        <v>0</v>
      </c>
      <c r="H24" s="35" t="str">
        <f aca="false">IF($G24="","n/a",IF($F24=$G24,"ok","MISMATCH"))</f>
        <v>ok</v>
      </c>
      <c r="I24" s="36"/>
      <c r="J24" s="100"/>
      <c r="L24" s="38" t="s">
        <v>184</v>
      </c>
    </row>
    <row r="25" customFormat="false" ht="15" hidden="false" customHeight="true" outlineLevel="0" collapsed="false">
      <c r="B25" s="29" t="s">
        <v>1777</v>
      </c>
      <c r="C25" s="98" t="s">
        <v>1778</v>
      </c>
      <c r="D25" s="99" t="s">
        <v>565</v>
      </c>
      <c r="E25" s="32" t="s">
        <v>433</v>
      </c>
      <c r="F25" s="33" t="n">
        <f aca="false">IF($E25="","",IFERROR(LOOKUP(VALUE(LEFT($E25&amp;"",FIND("-",$E25&amp;"-")-1)),$C$34:$C$39,$D$34:$D$39),""))</f>
        <v>0</v>
      </c>
      <c r="G25" s="34" t="n">
        <v>0</v>
      </c>
      <c r="H25" s="35" t="str">
        <f aca="false">IF($G25="","n/a",IF($F25=$G25,"ok","MISMATCH"))</f>
        <v>ok</v>
      </c>
      <c r="I25" s="36"/>
      <c r="J25" s="100"/>
      <c r="L25" s="38" t="s">
        <v>123</v>
      </c>
    </row>
    <row r="26" customFormat="false" ht="15" hidden="false" customHeight="true" outlineLevel="0" collapsed="false">
      <c r="B26" s="29" t="s">
        <v>1779</v>
      </c>
      <c r="C26" s="98" t="s">
        <v>1780</v>
      </c>
      <c r="D26" s="99" t="s">
        <v>565</v>
      </c>
      <c r="E26" s="32" t="s">
        <v>433</v>
      </c>
      <c r="F26" s="33" t="n">
        <f aca="false">IF($E26="","",IFERROR(LOOKUP(VALUE(LEFT($E26&amp;"",FIND("-",$E26&amp;"-")-1)),$C$34:$C$39,$D$34:$D$39),""))</f>
        <v>0</v>
      </c>
      <c r="G26" s="34" t="n">
        <v>0</v>
      </c>
      <c r="H26" s="35" t="str">
        <f aca="false">IF($G26="","n/a",IF($F26=$G26,"ok","MISMATCH"))</f>
        <v>ok</v>
      </c>
      <c r="I26" s="36"/>
      <c r="J26" s="100" t="s">
        <v>1781</v>
      </c>
      <c r="L26" s="38" t="s">
        <v>1779</v>
      </c>
    </row>
    <row r="28" customFormat="false" ht="15" hidden="false" customHeight="true" outlineLevel="0" collapsed="false">
      <c r="B28" s="11" t="s">
        <v>459</v>
      </c>
      <c r="F28" s="77" t="n">
        <f aca="false">SUM(F11:F26)</f>
        <v>3350</v>
      </c>
    </row>
    <row r="29" customFormat="false" ht="15" hidden="false" customHeight="true" outlineLevel="0" collapsed="false">
      <c r="B29" s="18" t="s">
        <v>1782</v>
      </c>
    </row>
    <row r="31" customFormat="false" ht="15" hidden="false" customHeight="true" outlineLevel="0" collapsed="false">
      <c r="B31" s="11" t="s">
        <v>461</v>
      </c>
    </row>
    <row r="32" customFormat="false" ht="15" hidden="false" customHeight="true" outlineLevel="0" collapsed="false">
      <c r="B32" s="78" t="s">
        <v>1693</v>
      </c>
    </row>
    <row r="33" customFormat="false" ht="15" hidden="false" customHeight="true" outlineLevel="0" collapsed="false">
      <c r="C33" s="4" t="s">
        <v>463</v>
      </c>
      <c r="D33" s="4" t="s">
        <v>464</v>
      </c>
      <c r="E33" s="1" t="s">
        <v>465</v>
      </c>
    </row>
    <row r="34" customFormat="false" ht="15" hidden="false" customHeight="true" outlineLevel="0" collapsed="false">
      <c r="C34" s="13" t="n">
        <v>1</v>
      </c>
      <c r="D34" s="79" t="n">
        <v>1000</v>
      </c>
      <c r="E34" s="80" t="s">
        <v>466</v>
      </c>
    </row>
    <row r="35" customFormat="false" ht="15" hidden="false" customHeight="true" outlineLevel="0" collapsed="false">
      <c r="C35" s="13" t="n">
        <v>2</v>
      </c>
      <c r="D35" s="79" t="n">
        <v>750</v>
      </c>
      <c r="E35" s="80" t="s">
        <v>467</v>
      </c>
    </row>
    <row r="36" customFormat="false" ht="15" hidden="false" customHeight="true" outlineLevel="0" collapsed="false">
      <c r="C36" s="13" t="n">
        <v>3</v>
      </c>
      <c r="D36" s="79" t="n">
        <v>500</v>
      </c>
      <c r="E36" s="80" t="s">
        <v>468</v>
      </c>
    </row>
    <row r="37" customFormat="false" ht="15" hidden="false" customHeight="true" outlineLevel="0" collapsed="false">
      <c r="C37" s="13" t="n">
        <v>4</v>
      </c>
      <c r="D37" s="79" t="n">
        <v>300</v>
      </c>
      <c r="E37" s="80" t="s">
        <v>469</v>
      </c>
    </row>
    <row r="38" customFormat="false" ht="15" hidden="false" customHeight="true" outlineLevel="0" collapsed="false">
      <c r="C38" s="13" t="n">
        <v>5</v>
      </c>
      <c r="D38" s="79" t="n">
        <v>200</v>
      </c>
      <c r="E38" s="80" t="s">
        <v>537</v>
      </c>
    </row>
    <row r="39" customFormat="false" ht="15" hidden="false" customHeight="true" outlineLevel="0" collapsed="false">
      <c r="C39" s="13" t="n">
        <v>9</v>
      </c>
      <c r="D39" s="79" t="n">
        <v>0</v>
      </c>
      <c r="E39" s="80" t="s">
        <v>1694</v>
      </c>
    </row>
    <row r="41" customFormat="false" ht="15" hidden="false" customHeight="true" outlineLevel="0" collapsed="false">
      <c r="B41" s="11" t="s">
        <v>1695</v>
      </c>
    </row>
    <row r="42" customFormat="false" ht="15" hidden="false" customHeight="true" outlineLevel="0" collapsed="false">
      <c r="B42" s="93" t="s">
        <v>1783</v>
      </c>
    </row>
    <row r="43" customFormat="false" ht="15" hidden="false" customHeight="true" outlineLevel="0" collapsed="false">
      <c r="B43" s="93" t="s">
        <v>1784</v>
      </c>
    </row>
    <row r="44" customFormat="false" ht="15" hidden="false" customHeight="true" outlineLevel="0" collapsed="false">
      <c r="B44" s="93" t="s">
        <v>1785</v>
      </c>
    </row>
    <row r="46" customFormat="false" ht="34.5" hidden="false" customHeight="true" outlineLevel="0" collapsed="false">
      <c r="B46" s="4" t="s">
        <v>556</v>
      </c>
      <c r="C46" s="4" t="s">
        <v>1699</v>
      </c>
      <c r="D46" s="4" t="s">
        <v>573</v>
      </c>
      <c r="E46" s="4" t="s">
        <v>1700</v>
      </c>
      <c r="F46" s="4" t="s">
        <v>1701</v>
      </c>
    </row>
    <row r="47" customFormat="false" ht="15" hidden="false" customHeight="true" outlineLevel="0" collapsed="false">
      <c r="B47" s="110" t="s">
        <v>558</v>
      </c>
      <c r="C47" s="14" t="n">
        <v>2.5</v>
      </c>
      <c r="D47" s="13" t="n">
        <f aca="false">COUNTIF($D$11:$D$26,$B47)</f>
        <v>3</v>
      </c>
      <c r="E47" s="205" t="n">
        <f aca="false">IFERROR($C47*$D47/$D$51,"")</f>
        <v>0.405405405405405</v>
      </c>
      <c r="F47" s="205" t="n">
        <f aca="false">IFERROR($C47/$D$51,"")</f>
        <v>0.135135135135135</v>
      </c>
    </row>
    <row r="48" customFormat="false" ht="15" hidden="false" customHeight="true" outlineLevel="0" collapsed="false">
      <c r="B48" s="110" t="s">
        <v>560</v>
      </c>
      <c r="C48" s="14" t="n">
        <v>1</v>
      </c>
      <c r="D48" s="13" t="n">
        <f aca="false">COUNTIF($D$11:$D$26,$B48)</f>
        <v>8</v>
      </c>
      <c r="E48" s="205" t="n">
        <f aca="false">IFERROR($C48*$D48/$D$51,"")</f>
        <v>0.432432432432432</v>
      </c>
      <c r="F48" s="205" t="n">
        <f aca="false">IFERROR($C48/$D$51,"")</f>
        <v>0.0540540540540541</v>
      </c>
    </row>
    <row r="49" customFormat="false" ht="15" hidden="false" customHeight="true" outlineLevel="0" collapsed="false">
      <c r="B49" s="110" t="s">
        <v>565</v>
      </c>
      <c r="C49" s="14" t="n">
        <v>0.6</v>
      </c>
      <c r="D49" s="13" t="n">
        <f aca="false">COUNTIF($D$11:$D$26,$B49)</f>
        <v>5</v>
      </c>
      <c r="E49" s="205" t="n">
        <f aca="false">IFERROR($C49*$D49/$D$51,"")</f>
        <v>0.162162162162162</v>
      </c>
      <c r="F49" s="205" t="n">
        <f aca="false">IFERROR($C49/$D$51,"")</f>
        <v>0.0324324324324324</v>
      </c>
    </row>
    <row r="51" customFormat="false" ht="15" hidden="false" customHeight="true" outlineLevel="0" collapsed="false">
      <c r="B51" s="11" t="s">
        <v>1702</v>
      </c>
      <c r="D51" s="77" t="n">
        <f aca="false">SUMPRODUCT($C$47:$C$49,$D$47:$D$49)</f>
        <v>18.5</v>
      </c>
    </row>
    <row r="53" customFormat="false" ht="15" hidden="false" customHeight="true" outlineLevel="0" collapsed="false">
      <c r="B53" s="116" t="s">
        <v>581</v>
      </c>
      <c r="D53" s="14" t="n">
        <v>34</v>
      </c>
    </row>
    <row r="54" customFormat="false" ht="15" hidden="false" customHeight="true" outlineLevel="0" collapsed="false">
      <c r="B54" s="116" t="s">
        <v>582</v>
      </c>
      <c r="D54" s="14" t="n">
        <v>16</v>
      </c>
    </row>
    <row r="55" customFormat="false" ht="15" hidden="false" customHeight="true" outlineLevel="0" collapsed="false">
      <c r="B55" s="116" t="s">
        <v>1703</v>
      </c>
      <c r="D55" s="206" t="n">
        <f aca="false">$D$53/50</f>
        <v>0.68</v>
      </c>
    </row>
    <row r="59" customFormat="false" ht="15" hidden="false" customHeight="true" outlineLevel="0" collapsed="false">
      <c r="B59" s="18" t="s">
        <v>1704</v>
      </c>
    </row>
    <row r="60" customFormat="false" ht="15" hidden="false" customHeight="true" outlineLevel="0" collapsed="false">
      <c r="B60" s="18" t="s">
        <v>1786</v>
      </c>
    </row>
    <row r="61" customFormat="false" ht="15" hidden="false" customHeight="true" outlineLevel="0" collapsed="false">
      <c r="B61" s="18" t="s">
        <v>1787</v>
      </c>
    </row>
  </sheetData>
  <sheetProtection sheet="true"/>
  <dataValidations count="2">
    <dataValidation allowBlank="true" errorStyle="stop" operator="between" showDropDown="false" showErrorMessage="false" showInputMessage="false" sqref="D11:D26" type="list">
      <formula1>"High,Medium,Low"</formula1>
      <formula2>0</formula2>
    </dataValidation>
    <dataValidation allowBlank="true" errorStyle="stop" operator="between" showDropDown="false" showErrorMessage="false" showInputMessage="false" sqref="E11:E26" type="list">
      <formula1>"1,2,3,4,5-8,9-16"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2026-09-03T11:36:08Z</dcterms:created>
  <dc:creator>openpyxl</dc:creator>
  <dc:description/>
  <dc:language>en-US</dc:language>
  <cp:lastModifiedBy/>
  <dcterms:modified xsi:type="dcterms:W3CDTF">2026-09-05T15:37:45Z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